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javier\Desktop\"/>
    </mc:Choice>
  </mc:AlternateContent>
  <bookViews>
    <workbookView xWindow="0" yWindow="0" windowWidth="23040" windowHeight="8784" activeTab="2"/>
  </bookViews>
  <sheets>
    <sheet name="Hoja1" sheetId="1" r:id="rId1"/>
    <sheet name="Hoja2" sheetId="2" r:id="rId2"/>
    <sheet name="Hoja final" sheetId="3" r:id="rId3"/>
  </sheets>
  <calcPr calcId="162913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3" l="1"/>
  <c r="E33" i="3"/>
  <c r="E34" i="3"/>
  <c r="E35" i="3"/>
  <c r="E36" i="3"/>
  <c r="E37" i="3"/>
  <c r="E38" i="3"/>
  <c r="E39" i="3"/>
  <c r="E40" i="3"/>
  <c r="E41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" i="3"/>
  <c r="E4" i="3"/>
  <c r="E5" i="3"/>
  <c r="E6" i="3"/>
  <c r="E7" i="3"/>
  <c r="E8" i="3"/>
  <c r="E9" i="3"/>
  <c r="E10" i="3"/>
  <c r="E11" i="3"/>
  <c r="E12" i="3"/>
  <c r="E2" i="3"/>
  <c r="I2" i="1" l="1"/>
  <c r="A50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26" i="1"/>
  <c r="A27" i="1"/>
  <c r="A28" i="1"/>
  <c r="A29" i="1"/>
  <c r="A30" i="1"/>
  <c r="A31" i="1"/>
  <c r="A32" i="1"/>
  <c r="A33" i="1"/>
  <c r="A34" i="1"/>
  <c r="A35" i="1"/>
  <c r="A36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3" i="1"/>
  <c r="A4" i="1"/>
  <c r="A5" i="1"/>
  <c r="A6" i="1"/>
  <c r="A7" i="1"/>
  <c r="A8" i="1"/>
  <c r="A9" i="1"/>
  <c r="A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2" i="1"/>
  <c r="I50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10" i="1"/>
  <c r="I11" i="1"/>
  <c r="I12" i="1"/>
  <c r="I13" i="1"/>
  <c r="I14" i="1"/>
  <c r="I15" i="1"/>
  <c r="I3" i="1"/>
  <c r="I4" i="1"/>
  <c r="I5" i="1"/>
  <c r="I6" i="1"/>
  <c r="I7" i="1"/>
  <c r="I8" i="1"/>
  <c r="I9" i="1"/>
</calcChain>
</file>

<file path=xl/sharedStrings.xml><?xml version="1.0" encoding="utf-8"?>
<sst xmlns="http://schemas.openxmlformats.org/spreadsheetml/2006/main" count="247" uniqueCount="80">
  <si>
    <t>Fecha</t>
  </si>
  <si>
    <t>Producto</t>
  </si>
  <si>
    <t>Categoría</t>
  </si>
  <si>
    <t>Región</t>
  </si>
  <si>
    <t>Precio</t>
  </si>
  <si>
    <t>Cantidad</t>
  </si>
  <si>
    <t>Costo</t>
  </si>
  <si>
    <t>Notebook</t>
  </si>
  <si>
    <t>Celular</t>
  </si>
  <si>
    <t>Audífonos</t>
  </si>
  <si>
    <t>Tablet</t>
  </si>
  <si>
    <t>Smartwatch</t>
  </si>
  <si>
    <t>Mouse</t>
  </si>
  <si>
    <t>Teclado</t>
  </si>
  <si>
    <t>Webcam</t>
  </si>
  <si>
    <t>Monitor</t>
  </si>
  <si>
    <t>Cable USB</t>
  </si>
  <si>
    <t>Adaptador</t>
  </si>
  <si>
    <t>Carcasa</t>
  </si>
  <si>
    <t>Accesorio</t>
  </si>
  <si>
    <t>Tecnología</t>
  </si>
  <si>
    <t>Santiago</t>
  </si>
  <si>
    <t>Valparaíso</t>
  </si>
  <si>
    <t>Concepción</t>
  </si>
  <si>
    <t>Tarapacá</t>
  </si>
  <si>
    <t>Antofagasta</t>
  </si>
  <si>
    <t>Atacama</t>
  </si>
  <si>
    <t>Maule</t>
  </si>
  <si>
    <t>Biobío</t>
  </si>
  <si>
    <t>Coquimbo</t>
  </si>
  <si>
    <t>Arica</t>
  </si>
  <si>
    <t>cliente_id</t>
  </si>
  <si>
    <t>Total</t>
  </si>
  <si>
    <t>Ganancia</t>
  </si>
  <si>
    <t>C11</t>
  </si>
  <si>
    <t>C20</t>
  </si>
  <si>
    <t>C23</t>
  </si>
  <si>
    <t>C25</t>
  </si>
  <si>
    <t>C27</t>
  </si>
  <si>
    <t>C29</t>
  </si>
  <si>
    <t>C33</t>
  </si>
  <si>
    <t>C35</t>
  </si>
  <si>
    <t>C37</t>
  </si>
  <si>
    <t>C39</t>
  </si>
  <si>
    <t>C41</t>
  </si>
  <si>
    <t>C42</t>
  </si>
  <si>
    <t>C48</t>
  </si>
  <si>
    <t>C49</t>
  </si>
  <si>
    <t>C5</t>
  </si>
  <si>
    <t>C54</t>
  </si>
  <si>
    <t>C55</t>
  </si>
  <si>
    <t>C56</t>
  </si>
  <si>
    <t>C6</t>
  </si>
  <si>
    <t>C64</t>
  </si>
  <si>
    <t>C66</t>
  </si>
  <si>
    <t>C69</t>
  </si>
  <si>
    <t>C71</t>
  </si>
  <si>
    <t>C72</t>
  </si>
  <si>
    <t>C74</t>
  </si>
  <si>
    <t>C77</t>
  </si>
  <si>
    <t>C79</t>
  </si>
  <si>
    <t>C81</t>
  </si>
  <si>
    <t>C82</t>
  </si>
  <si>
    <t>C84</t>
  </si>
  <si>
    <t>C87</t>
  </si>
  <si>
    <t>C88</t>
  </si>
  <si>
    <t>C89</t>
  </si>
  <si>
    <t>C90</t>
  </si>
  <si>
    <t>C93</t>
  </si>
  <si>
    <t>C94</t>
  </si>
  <si>
    <t>C95</t>
  </si>
  <si>
    <t>C96</t>
  </si>
  <si>
    <t>C97</t>
  </si>
  <si>
    <t>C98</t>
  </si>
  <si>
    <t>Total general</t>
  </si>
  <si>
    <t>Cliente_id</t>
  </si>
  <si>
    <t>Frecuencia</t>
  </si>
  <si>
    <t>Gasto Total</t>
  </si>
  <si>
    <t>Ticket Promedio</t>
  </si>
  <si>
    <t>tipo_cliente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</si>
</sst>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javier" refreshedDate="46109.066439351853" createdVersion="6" refreshedVersion="6" minRefreshableVersion="3" recordCount="49">
  <cacheSource type="worksheet">
    <worksheetSource ref="A1:J50" sheet="Hoja1"/>
  </cacheSource>
  <cacheFields count="10">
    <cacheField name="cliente_id" numFmtId="0">
      <sharedItems count="40">
        <s v="C20"/>
        <s v="C66"/>
        <s v="C79"/>
        <s v="C64"/>
        <s v="C25"/>
        <s v="C77"/>
        <s v="C69"/>
        <s v="C74"/>
        <s v="C84"/>
        <s v="C96"/>
        <s v="C5"/>
        <s v="C27"/>
        <s v="C49"/>
        <s v="C39"/>
        <s v="C94"/>
        <s v="C72"/>
        <s v="C93"/>
        <s v="C89"/>
        <s v="C29"/>
        <s v="C35"/>
        <s v="C95"/>
        <s v="C98"/>
        <s v="C6"/>
        <s v="C56"/>
        <s v="C42"/>
        <s v="C11"/>
        <s v="C33"/>
        <s v="C55"/>
        <s v="C82"/>
        <s v="C23"/>
        <s v="C48"/>
        <s v="C87"/>
        <s v="C37"/>
        <s v="C97"/>
        <s v="C71"/>
        <s v="C90"/>
        <s v="C81"/>
        <s v="C88"/>
        <s v="C41"/>
        <s v="C54"/>
      </sharedItems>
    </cacheField>
    <cacheField name="Fecha" numFmtId="14">
      <sharedItems containsSemiMixedTypes="0" containsNonDate="0" containsDate="1" containsString="0" minDate="2024-01-10T00:00:00" maxDate="2024-02-28T00:00:00"/>
    </cacheField>
    <cacheField name="Producto" numFmtId="0">
      <sharedItems/>
    </cacheField>
    <cacheField name="Categoría" numFmtId="0">
      <sharedItems/>
    </cacheField>
    <cacheField name="Región" numFmtId="0">
      <sharedItems/>
    </cacheField>
    <cacheField name="Precio" numFmtId="0">
      <sharedItems containsSemiMixedTypes="0" containsString="0" containsNumber="1" containsInteger="1" minValue="8000" maxValue="1000000"/>
    </cacheField>
    <cacheField name="Cantidad" numFmtId="0">
      <sharedItems containsSemiMixedTypes="0" containsString="0" containsNumber="1" containsInteger="1" minValue="1" maxValue="5"/>
    </cacheField>
    <cacheField name="Costo" numFmtId="0">
      <sharedItems containsSemiMixedTypes="0" containsString="0" containsNumber="1" containsInteger="1" minValue="3000" maxValue="700000"/>
    </cacheField>
    <cacheField name="Total" numFmtId="0">
      <sharedItems containsSemiMixedTypes="0" containsString="0" containsNumber="1" containsInteger="1" minValue="10000" maxValue="3000000"/>
    </cacheField>
    <cacheField name="Ganancia" numFmtId="0">
      <sharedItems containsSemiMixedTypes="0" containsString="0" containsNumber="1" containsInteger="1" minValue="5000" maxValue="23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d v="2024-01-10T00:00:00"/>
    <s v="Notebook"/>
    <s v="Tecnología"/>
    <s v="Santiago"/>
    <n v="900000"/>
    <n v="2"/>
    <n v="650000"/>
    <n v="1800000"/>
    <n v="1150000"/>
  </r>
  <r>
    <x v="1"/>
    <d v="2024-01-11T00:00:00"/>
    <s v="Celular"/>
    <s v="Tecnología"/>
    <s v="Valparaíso"/>
    <n v="300000"/>
    <n v="3"/>
    <n v="200000"/>
    <n v="900000"/>
    <n v="700000"/>
  </r>
  <r>
    <x v="2"/>
    <d v="2024-01-12T00:00:00"/>
    <s v="Audífonos"/>
    <s v="Accesorio"/>
    <s v="Concepción"/>
    <n v="50000"/>
    <n v="4"/>
    <n v="20000"/>
    <n v="200000"/>
    <n v="180000"/>
  </r>
  <r>
    <x v="1"/>
    <d v="2024-01-13T00:00:00"/>
    <s v="Tablet"/>
    <s v="Tecnología"/>
    <s v="Santiago"/>
    <n v="400000"/>
    <n v="1"/>
    <n v="250000"/>
    <n v="400000"/>
    <n v="150000"/>
  </r>
  <r>
    <x v="3"/>
    <d v="2024-01-14T00:00:00"/>
    <s v="Smartwatch"/>
    <s v="Accesorio"/>
    <s v="Santiago"/>
    <n v="150000"/>
    <n v="2"/>
    <n v="90000"/>
    <n v="300000"/>
    <n v="210000"/>
  </r>
  <r>
    <x v="4"/>
    <d v="2024-01-15T00:00:00"/>
    <s v="Mouse"/>
    <s v="Tecnología"/>
    <s v="Tarapacá"/>
    <n v="35000"/>
    <n v="2"/>
    <n v="20000"/>
    <n v="70000"/>
    <n v="50000"/>
  </r>
  <r>
    <x v="5"/>
    <d v="2024-01-16T00:00:00"/>
    <s v="Teclado"/>
    <s v="Tecnología"/>
    <s v="Coquimbo"/>
    <n v="40000"/>
    <n v="5"/>
    <n v="25000"/>
    <n v="200000"/>
    <n v="175000"/>
  </r>
  <r>
    <x v="0"/>
    <d v="2024-01-17T00:00:00"/>
    <s v="Webcam"/>
    <s v="Tecnología"/>
    <s v="Antofagasta"/>
    <n v="50000"/>
    <n v="3"/>
    <n v="35000"/>
    <n v="150000"/>
    <n v="115000"/>
  </r>
  <r>
    <x v="0"/>
    <d v="2024-01-18T00:00:00"/>
    <s v="Monitor"/>
    <s v="Tecnología"/>
    <s v="Coquimbo"/>
    <n v="100000"/>
    <n v="5"/>
    <n v="70000"/>
    <n v="500000"/>
    <n v="430000"/>
  </r>
  <r>
    <x v="6"/>
    <d v="2024-01-19T00:00:00"/>
    <s v="Cable USB"/>
    <s v="Accesorio"/>
    <s v="Atacama"/>
    <n v="15000"/>
    <n v="2"/>
    <n v="7000"/>
    <n v="30000"/>
    <n v="23000"/>
  </r>
  <r>
    <x v="7"/>
    <d v="2024-01-20T00:00:00"/>
    <s v="Adaptador"/>
    <s v="Accesorio"/>
    <s v="Santiago"/>
    <n v="15000"/>
    <n v="1"/>
    <n v="7000"/>
    <n v="15000"/>
    <n v="8000"/>
  </r>
  <r>
    <x v="8"/>
    <d v="2024-01-21T00:00:00"/>
    <s v="Carcasa"/>
    <s v="Accesorio"/>
    <s v="Santiago"/>
    <n v="10000"/>
    <n v="5"/>
    <n v="3000"/>
    <n v="50000"/>
    <n v="47000"/>
  </r>
  <r>
    <x v="9"/>
    <d v="2024-01-22T00:00:00"/>
    <s v="Notebook"/>
    <s v="Tecnología"/>
    <s v="Maule"/>
    <n v="1000000"/>
    <n v="3"/>
    <n v="700000"/>
    <n v="3000000"/>
    <n v="2300000"/>
  </r>
  <r>
    <x v="10"/>
    <d v="2024-01-23T00:00:00"/>
    <s v="Celular"/>
    <s v="Tecnología"/>
    <s v="Santiago"/>
    <n v="700000"/>
    <n v="3"/>
    <n v="500000"/>
    <n v="2100000"/>
    <n v="1600000"/>
  </r>
  <r>
    <x v="7"/>
    <d v="2024-01-24T00:00:00"/>
    <s v="Audífonos"/>
    <s v="Accesorio"/>
    <s v="Biobío"/>
    <n v="140000"/>
    <n v="1"/>
    <n v="100000"/>
    <n v="140000"/>
    <n v="40000"/>
  </r>
  <r>
    <x v="11"/>
    <d v="2024-01-25T00:00:00"/>
    <s v="Tablet"/>
    <s v="Tecnología"/>
    <s v="Maule"/>
    <n v="600000"/>
    <n v="4"/>
    <n v="350000"/>
    <n v="2400000"/>
    <n v="2050000"/>
  </r>
  <r>
    <x v="12"/>
    <d v="2024-01-26T00:00:00"/>
    <s v="Smartwatch"/>
    <s v="Accesorio"/>
    <s v="Santiago"/>
    <n v="200000"/>
    <n v="2"/>
    <n v="150000"/>
    <n v="400000"/>
    <n v="250000"/>
  </r>
  <r>
    <x v="13"/>
    <d v="2024-01-27T00:00:00"/>
    <s v="Mouse"/>
    <s v="Tecnología"/>
    <s v="Biobío"/>
    <n v="20000"/>
    <n v="5"/>
    <n v="10000"/>
    <n v="100000"/>
    <n v="90000"/>
  </r>
  <r>
    <x v="14"/>
    <d v="2024-01-28T00:00:00"/>
    <s v="Teclado"/>
    <s v="Tecnología"/>
    <s v="Santiago"/>
    <n v="35000"/>
    <n v="1"/>
    <n v="20000"/>
    <n v="35000"/>
    <n v="15000"/>
  </r>
  <r>
    <x v="15"/>
    <d v="2024-01-29T00:00:00"/>
    <s v="Webcam"/>
    <s v="Tecnología"/>
    <s v="Valparaíso"/>
    <n v="50000"/>
    <n v="1"/>
    <n v="35000"/>
    <n v="50000"/>
    <n v="15000"/>
  </r>
  <r>
    <x v="16"/>
    <d v="2024-01-30T00:00:00"/>
    <s v="Monitor"/>
    <s v="Tecnología"/>
    <s v="Concepción"/>
    <n v="150000"/>
    <n v="1"/>
    <n v="90000"/>
    <n v="150000"/>
    <n v="60000"/>
  </r>
  <r>
    <x v="17"/>
    <d v="2024-01-31T00:00:00"/>
    <s v="Cable USB"/>
    <s v="Accesorio"/>
    <s v="Santiago"/>
    <n v="10000"/>
    <n v="1"/>
    <n v="5000"/>
    <n v="10000"/>
    <n v="5000"/>
  </r>
  <r>
    <x v="18"/>
    <d v="2024-02-01T00:00:00"/>
    <s v="Adaptador"/>
    <s v="Accesorio"/>
    <s v="Santiago"/>
    <n v="10000"/>
    <n v="1"/>
    <n v="5000"/>
    <n v="10000"/>
    <n v="5000"/>
  </r>
  <r>
    <x v="19"/>
    <d v="2024-02-02T00:00:00"/>
    <s v="Carcasa"/>
    <s v="Accesorio"/>
    <s v="Atacama"/>
    <n v="8000"/>
    <n v="2"/>
    <n v="3000"/>
    <n v="16000"/>
    <n v="13000"/>
  </r>
  <r>
    <x v="20"/>
    <d v="2024-02-03T00:00:00"/>
    <s v="Teclado"/>
    <s v="Tecnología"/>
    <s v="Valparaíso"/>
    <n v="25000"/>
    <n v="2"/>
    <n v="15000"/>
    <n v="50000"/>
    <n v="35000"/>
  </r>
  <r>
    <x v="21"/>
    <d v="2024-02-04T00:00:00"/>
    <s v="Webcam"/>
    <s v="Tecnología"/>
    <s v="Maule"/>
    <n v="20000"/>
    <n v="2"/>
    <n v="15000"/>
    <n v="40000"/>
    <n v="25000"/>
  </r>
  <r>
    <x v="22"/>
    <d v="2024-02-05T00:00:00"/>
    <s v="Monitor"/>
    <s v="Tecnología"/>
    <s v="Maule"/>
    <n v="80000"/>
    <n v="2"/>
    <n v="50000"/>
    <n v="160000"/>
    <n v="110000"/>
  </r>
  <r>
    <x v="23"/>
    <d v="2024-02-06T00:00:00"/>
    <s v="Cable USB"/>
    <s v="Accesorio"/>
    <s v="Concepción"/>
    <n v="10000"/>
    <n v="3"/>
    <n v="5000"/>
    <n v="30000"/>
    <n v="25000"/>
  </r>
  <r>
    <x v="24"/>
    <d v="2024-02-07T00:00:00"/>
    <s v="Adaptador"/>
    <s v="Accesorio"/>
    <s v="Biobío"/>
    <n v="15000"/>
    <n v="4"/>
    <n v="5000"/>
    <n v="60000"/>
    <n v="55000"/>
  </r>
  <r>
    <x v="25"/>
    <d v="2024-02-08T00:00:00"/>
    <s v="Carcasa"/>
    <s v="Accesorio"/>
    <s v="Valparaíso"/>
    <n v="20000"/>
    <n v="5"/>
    <n v="10000"/>
    <n v="100000"/>
    <n v="90000"/>
  </r>
  <r>
    <x v="26"/>
    <d v="2024-02-09T00:00:00"/>
    <s v="Notebook"/>
    <s v="Tecnología"/>
    <s v="Concepción"/>
    <n v="700000"/>
    <n v="1"/>
    <n v="500000"/>
    <n v="700000"/>
    <n v="200000"/>
  </r>
  <r>
    <x v="23"/>
    <d v="2024-02-10T00:00:00"/>
    <s v="Celular"/>
    <s v="Tecnología"/>
    <s v="Tarapacá"/>
    <n v="500000"/>
    <n v="4"/>
    <n v="300000"/>
    <n v="2000000"/>
    <n v="1700000"/>
  </r>
  <r>
    <x v="27"/>
    <d v="2024-02-11T00:00:00"/>
    <s v="Audífonos"/>
    <s v="Accesorio"/>
    <s v="Concepción"/>
    <n v="25000"/>
    <n v="1"/>
    <n v="10000"/>
    <n v="25000"/>
    <n v="15000"/>
  </r>
  <r>
    <x v="28"/>
    <d v="2024-02-12T00:00:00"/>
    <s v="Audífonos"/>
    <s v="Accesorio"/>
    <s v="Santiago"/>
    <n v="15000"/>
    <n v="2"/>
    <n v="5000"/>
    <n v="30000"/>
    <n v="25000"/>
  </r>
  <r>
    <x v="29"/>
    <d v="2024-02-13T00:00:00"/>
    <s v="Tablet"/>
    <s v="Tecnología"/>
    <s v="Concepción"/>
    <n v="350000"/>
    <n v="2"/>
    <n v="250000"/>
    <n v="700000"/>
    <n v="450000"/>
  </r>
  <r>
    <x v="30"/>
    <d v="2024-02-14T00:00:00"/>
    <s v="Audífonos"/>
    <s v="Accesorio"/>
    <s v="Concepción"/>
    <n v="25000"/>
    <n v="3"/>
    <n v="10000"/>
    <n v="75000"/>
    <n v="65000"/>
  </r>
  <r>
    <x v="24"/>
    <d v="2024-02-15T00:00:00"/>
    <s v="Tablet"/>
    <s v="Tecnología"/>
    <s v="Atacama"/>
    <n v="400000"/>
    <n v="3"/>
    <n v="250000"/>
    <n v="1200000"/>
    <n v="950000"/>
  </r>
  <r>
    <x v="29"/>
    <d v="2024-02-16T00:00:00"/>
    <s v="Mouse"/>
    <s v="Tecnología"/>
    <s v="Biobío"/>
    <n v="45000"/>
    <n v="3"/>
    <n v="25000"/>
    <n v="135000"/>
    <n v="110000"/>
  </r>
  <r>
    <x v="31"/>
    <d v="2024-02-17T00:00:00"/>
    <s v="Teclado"/>
    <s v="Tecnología"/>
    <s v="Santiago"/>
    <n v="40000"/>
    <n v="4"/>
    <n v="25000"/>
    <n v="160000"/>
    <n v="135000"/>
  </r>
  <r>
    <x v="32"/>
    <d v="2024-02-18T00:00:00"/>
    <s v="Webcam"/>
    <s v="Tecnología"/>
    <s v="Biobío"/>
    <n v="30000"/>
    <n v="1"/>
    <n v="15000"/>
    <n v="30000"/>
    <n v="15000"/>
  </r>
  <r>
    <x v="33"/>
    <d v="2024-02-19T00:00:00"/>
    <s v="Monitor"/>
    <s v="Tecnología"/>
    <s v="Maule"/>
    <n v="100000"/>
    <n v="2"/>
    <n v="50000"/>
    <n v="200000"/>
    <n v="150000"/>
  </r>
  <r>
    <x v="34"/>
    <d v="2024-02-20T00:00:00"/>
    <s v="Cable USB"/>
    <s v="Accesorio"/>
    <s v="Santiago"/>
    <n v="20000"/>
    <n v="2"/>
    <n v="10000"/>
    <n v="40000"/>
    <n v="30000"/>
  </r>
  <r>
    <x v="12"/>
    <d v="2024-02-21T00:00:00"/>
    <s v="Carcasa"/>
    <s v="Accesorio"/>
    <s v="Tarapacá"/>
    <n v="10000"/>
    <n v="2"/>
    <n v="3000"/>
    <n v="20000"/>
    <n v="17000"/>
  </r>
  <r>
    <x v="35"/>
    <d v="2024-02-22T00:00:00"/>
    <s v="Notebook"/>
    <s v="Tecnología"/>
    <s v="Arica"/>
    <n v="800000"/>
    <n v="2"/>
    <n v="600000"/>
    <n v="1600000"/>
    <n v="1000000"/>
  </r>
  <r>
    <x v="36"/>
    <d v="2024-02-23T00:00:00"/>
    <s v="Celular"/>
    <s v="Tecnología"/>
    <s v="Valparaíso"/>
    <n v="600000"/>
    <n v="4"/>
    <n v="450000"/>
    <n v="2400000"/>
    <n v="1950000"/>
  </r>
  <r>
    <x v="37"/>
    <d v="2024-02-24T00:00:00"/>
    <s v="Audífonos"/>
    <s v="Accesorio"/>
    <s v="Valparaíso"/>
    <n v="50000"/>
    <n v="5"/>
    <n v="30000"/>
    <n v="250000"/>
    <n v="220000"/>
  </r>
  <r>
    <x v="38"/>
    <d v="2024-02-25T00:00:00"/>
    <s v="Audífonos"/>
    <s v="Accesorio"/>
    <s v="Arica"/>
    <n v="50000"/>
    <n v="1"/>
    <n v="30000"/>
    <n v="50000"/>
    <n v="20000"/>
  </r>
  <r>
    <x v="39"/>
    <d v="2024-02-26T00:00:00"/>
    <s v="Tablet"/>
    <s v="Tecnología"/>
    <s v="Santiago"/>
    <n v="400000"/>
    <n v="1"/>
    <n v="250000"/>
    <n v="400000"/>
    <n v="150000"/>
  </r>
  <r>
    <x v="1"/>
    <d v="2024-02-27T00:00:00"/>
    <s v="Audífonos"/>
    <s v="Accesorio"/>
    <s v="Santiago"/>
    <n v="20000"/>
    <n v="1"/>
    <n v="10000"/>
    <n v="20000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Cliente_id">
  <location ref="A3:D44" firstHeaderRow="0" firstDataRow="1" firstDataCol="1"/>
  <pivotFields count="10">
    <pivotField axis="axisRow" dataField="1" showAll="0">
      <items count="41">
        <item x="25"/>
        <item x="0"/>
        <item x="29"/>
        <item x="4"/>
        <item x="11"/>
        <item x="18"/>
        <item x="26"/>
        <item x="19"/>
        <item x="32"/>
        <item x="13"/>
        <item x="38"/>
        <item x="24"/>
        <item x="30"/>
        <item x="12"/>
        <item x="10"/>
        <item x="39"/>
        <item x="27"/>
        <item x="23"/>
        <item x="22"/>
        <item x="3"/>
        <item x="1"/>
        <item x="6"/>
        <item x="34"/>
        <item x="15"/>
        <item x="7"/>
        <item x="5"/>
        <item x="2"/>
        <item x="36"/>
        <item x="28"/>
        <item x="8"/>
        <item x="31"/>
        <item x="37"/>
        <item x="17"/>
        <item x="35"/>
        <item x="16"/>
        <item x="14"/>
        <item x="20"/>
        <item x="9"/>
        <item x="33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cuencia" fld="0" subtotal="count" baseField="0" baseItem="0"/>
    <dataField name="Gasto Total" fld="8" baseField="0" baseItem="0"/>
    <dataField name="Ticket Promedio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topLeftCell="A19" workbookViewId="0">
      <selection activeCell="C53" sqref="C53"/>
    </sheetView>
  </sheetViews>
  <sheetFormatPr baseColWidth="10" defaultRowHeight="14.4" x14ac:dyDescent="0.3"/>
  <cols>
    <col min="2" max="2" width="9.5546875" bestFit="1" customWidth="1"/>
  </cols>
  <sheetData>
    <row r="1" spans="1:10" x14ac:dyDescent="0.3">
      <c r="A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32</v>
      </c>
      <c r="J1" s="1" t="s">
        <v>33</v>
      </c>
    </row>
    <row r="2" spans="1:10" x14ac:dyDescent="0.3">
      <c r="A2" t="str">
        <f ca="1">"C"&amp;RANDBETWEEN(1,100)</f>
        <v>C83</v>
      </c>
      <c r="B2" s="2">
        <v>45301</v>
      </c>
      <c r="C2" t="s">
        <v>7</v>
      </c>
      <c r="D2" t="s">
        <v>20</v>
      </c>
      <c r="E2" t="s">
        <v>21</v>
      </c>
      <c r="F2">
        <v>900000</v>
      </c>
      <c r="G2">
        <v>2</v>
      </c>
      <c r="H2">
        <v>650000</v>
      </c>
      <c r="I2">
        <f>(F2*G2)</f>
        <v>1800000</v>
      </c>
      <c r="J2">
        <f>(F2*G2) - H2</f>
        <v>1150000</v>
      </c>
    </row>
    <row r="3" spans="1:10" x14ac:dyDescent="0.3">
      <c r="A3" t="str">
        <f t="shared" ref="A3:A49" ca="1" si="0">"C"&amp;RANDBETWEEN(1,100)</f>
        <v>C40</v>
      </c>
      <c r="B3" s="2">
        <v>45302</v>
      </c>
      <c r="C3" t="s">
        <v>8</v>
      </c>
      <c r="D3" t="s">
        <v>20</v>
      </c>
      <c r="E3" t="s">
        <v>22</v>
      </c>
      <c r="F3">
        <v>300000</v>
      </c>
      <c r="G3">
        <v>3</v>
      </c>
      <c r="H3">
        <v>200000</v>
      </c>
      <c r="I3">
        <f t="shared" ref="I3:I50" si="1">(F3*G3)</f>
        <v>900000</v>
      </c>
      <c r="J3">
        <f t="shared" ref="J3:J50" si="2">(F3*G3) - H3</f>
        <v>700000</v>
      </c>
    </row>
    <row r="4" spans="1:10" x14ac:dyDescent="0.3">
      <c r="A4" t="str">
        <f t="shared" ca="1" si="0"/>
        <v>C75</v>
      </c>
      <c r="B4" s="2">
        <v>45303</v>
      </c>
      <c r="C4" t="s">
        <v>9</v>
      </c>
      <c r="D4" t="s">
        <v>19</v>
      </c>
      <c r="E4" t="s">
        <v>23</v>
      </c>
      <c r="F4">
        <v>50000</v>
      </c>
      <c r="G4">
        <v>4</v>
      </c>
      <c r="H4">
        <v>20000</v>
      </c>
      <c r="I4">
        <f t="shared" si="1"/>
        <v>200000</v>
      </c>
      <c r="J4">
        <f t="shared" si="2"/>
        <v>180000</v>
      </c>
    </row>
    <row r="5" spans="1:10" x14ac:dyDescent="0.3">
      <c r="A5" t="str">
        <f t="shared" ca="1" si="0"/>
        <v>C62</v>
      </c>
      <c r="B5" s="2">
        <v>45304</v>
      </c>
      <c r="C5" t="s">
        <v>10</v>
      </c>
      <c r="D5" t="s">
        <v>20</v>
      </c>
      <c r="E5" t="s">
        <v>21</v>
      </c>
      <c r="F5">
        <v>400000</v>
      </c>
      <c r="G5">
        <v>1</v>
      </c>
      <c r="H5">
        <v>250000</v>
      </c>
      <c r="I5">
        <f t="shared" si="1"/>
        <v>400000</v>
      </c>
      <c r="J5">
        <f t="shared" si="2"/>
        <v>150000</v>
      </c>
    </row>
    <row r="6" spans="1:10" x14ac:dyDescent="0.3">
      <c r="A6" t="str">
        <f t="shared" ca="1" si="0"/>
        <v>C19</v>
      </c>
      <c r="B6" s="2">
        <v>45305</v>
      </c>
      <c r="C6" t="s">
        <v>11</v>
      </c>
      <c r="D6" t="s">
        <v>19</v>
      </c>
      <c r="E6" t="s">
        <v>21</v>
      </c>
      <c r="F6">
        <v>150000</v>
      </c>
      <c r="G6">
        <v>2</v>
      </c>
      <c r="H6">
        <v>90000</v>
      </c>
      <c r="I6">
        <f t="shared" si="1"/>
        <v>300000</v>
      </c>
      <c r="J6">
        <f t="shared" si="2"/>
        <v>210000</v>
      </c>
    </row>
    <row r="7" spans="1:10" x14ac:dyDescent="0.3">
      <c r="A7" t="str">
        <f t="shared" ca="1" si="0"/>
        <v>C30</v>
      </c>
      <c r="B7" s="2">
        <v>45306</v>
      </c>
      <c r="C7" t="s">
        <v>12</v>
      </c>
      <c r="D7" t="s">
        <v>20</v>
      </c>
      <c r="E7" t="s">
        <v>24</v>
      </c>
      <c r="F7">
        <v>35000</v>
      </c>
      <c r="G7">
        <v>2</v>
      </c>
      <c r="H7">
        <v>20000</v>
      </c>
      <c r="I7">
        <f t="shared" si="1"/>
        <v>70000</v>
      </c>
      <c r="J7">
        <f t="shared" si="2"/>
        <v>50000</v>
      </c>
    </row>
    <row r="8" spans="1:10" x14ac:dyDescent="0.3">
      <c r="A8" t="str">
        <f t="shared" ca="1" si="0"/>
        <v>C77</v>
      </c>
      <c r="B8" s="2">
        <v>45307</v>
      </c>
      <c r="C8" t="s">
        <v>13</v>
      </c>
      <c r="D8" t="s">
        <v>20</v>
      </c>
      <c r="E8" t="s">
        <v>29</v>
      </c>
      <c r="F8">
        <v>40000</v>
      </c>
      <c r="G8">
        <v>5</v>
      </c>
      <c r="H8">
        <v>25000</v>
      </c>
      <c r="I8">
        <f t="shared" si="1"/>
        <v>200000</v>
      </c>
      <c r="J8">
        <f t="shared" si="2"/>
        <v>175000</v>
      </c>
    </row>
    <row r="9" spans="1:10" x14ac:dyDescent="0.3">
      <c r="A9" t="str">
        <f t="shared" ca="1" si="0"/>
        <v>C44</v>
      </c>
      <c r="B9" s="2">
        <v>45308</v>
      </c>
      <c r="C9" t="s">
        <v>14</v>
      </c>
      <c r="D9" t="s">
        <v>20</v>
      </c>
      <c r="E9" t="s">
        <v>25</v>
      </c>
      <c r="F9">
        <v>50000</v>
      </c>
      <c r="G9">
        <v>3</v>
      </c>
      <c r="H9">
        <v>35000</v>
      </c>
      <c r="I9">
        <f t="shared" si="1"/>
        <v>150000</v>
      </c>
      <c r="J9">
        <f t="shared" si="2"/>
        <v>115000</v>
      </c>
    </row>
    <row r="10" spans="1:10" x14ac:dyDescent="0.3">
      <c r="A10" t="str">
        <f t="shared" ca="1" si="0"/>
        <v>C46</v>
      </c>
      <c r="B10" s="2">
        <v>45309</v>
      </c>
      <c r="C10" t="s">
        <v>15</v>
      </c>
      <c r="D10" t="s">
        <v>20</v>
      </c>
      <c r="E10" t="s">
        <v>29</v>
      </c>
      <c r="F10">
        <v>100000</v>
      </c>
      <c r="G10">
        <v>5</v>
      </c>
      <c r="H10">
        <v>70000</v>
      </c>
      <c r="I10">
        <f t="shared" si="1"/>
        <v>500000</v>
      </c>
      <c r="J10">
        <f t="shared" si="2"/>
        <v>430000</v>
      </c>
    </row>
    <row r="11" spans="1:10" x14ac:dyDescent="0.3">
      <c r="A11" t="str">
        <f t="shared" ca="1" si="0"/>
        <v>C21</v>
      </c>
      <c r="B11" s="2">
        <v>45310</v>
      </c>
      <c r="C11" t="s">
        <v>16</v>
      </c>
      <c r="D11" t="s">
        <v>19</v>
      </c>
      <c r="E11" t="s">
        <v>26</v>
      </c>
      <c r="F11">
        <v>15000</v>
      </c>
      <c r="G11">
        <v>2</v>
      </c>
      <c r="H11">
        <v>7000</v>
      </c>
      <c r="I11">
        <f t="shared" si="1"/>
        <v>30000</v>
      </c>
      <c r="J11">
        <f t="shared" si="2"/>
        <v>23000</v>
      </c>
    </row>
    <row r="12" spans="1:10" x14ac:dyDescent="0.3">
      <c r="A12" t="str">
        <f t="shared" ca="1" si="0"/>
        <v>C98</v>
      </c>
      <c r="B12" s="2">
        <v>45311</v>
      </c>
      <c r="C12" t="s">
        <v>17</v>
      </c>
      <c r="D12" t="s">
        <v>19</v>
      </c>
      <c r="E12" t="s">
        <v>21</v>
      </c>
      <c r="F12">
        <v>15000</v>
      </c>
      <c r="G12">
        <v>1</v>
      </c>
      <c r="H12">
        <v>7000</v>
      </c>
      <c r="I12">
        <f t="shared" si="1"/>
        <v>15000</v>
      </c>
      <c r="J12">
        <f t="shared" si="2"/>
        <v>8000</v>
      </c>
    </row>
    <row r="13" spans="1:10" x14ac:dyDescent="0.3">
      <c r="A13" t="str">
        <f t="shared" ca="1" si="0"/>
        <v>C44</v>
      </c>
      <c r="B13" s="2">
        <v>45312</v>
      </c>
      <c r="C13" t="s">
        <v>18</v>
      </c>
      <c r="D13" t="s">
        <v>19</v>
      </c>
      <c r="E13" t="s">
        <v>21</v>
      </c>
      <c r="F13">
        <v>10000</v>
      </c>
      <c r="G13">
        <v>5</v>
      </c>
      <c r="H13">
        <v>3000</v>
      </c>
      <c r="I13">
        <f t="shared" si="1"/>
        <v>50000</v>
      </c>
      <c r="J13">
        <f t="shared" si="2"/>
        <v>47000</v>
      </c>
    </row>
    <row r="14" spans="1:10" x14ac:dyDescent="0.3">
      <c r="A14" t="str">
        <f t="shared" ca="1" si="0"/>
        <v>C98</v>
      </c>
      <c r="B14" s="2">
        <v>45313</v>
      </c>
      <c r="C14" t="s">
        <v>7</v>
      </c>
      <c r="D14" t="s">
        <v>20</v>
      </c>
      <c r="E14" t="s">
        <v>27</v>
      </c>
      <c r="F14">
        <v>1000000</v>
      </c>
      <c r="G14">
        <v>3</v>
      </c>
      <c r="H14">
        <v>700000</v>
      </c>
      <c r="I14">
        <f t="shared" si="1"/>
        <v>3000000</v>
      </c>
      <c r="J14">
        <f t="shared" si="2"/>
        <v>2300000</v>
      </c>
    </row>
    <row r="15" spans="1:10" x14ac:dyDescent="0.3">
      <c r="A15" t="str">
        <f t="shared" ca="1" si="0"/>
        <v>C35</v>
      </c>
      <c r="B15" s="2">
        <v>45314</v>
      </c>
      <c r="C15" t="s">
        <v>8</v>
      </c>
      <c r="D15" t="s">
        <v>20</v>
      </c>
      <c r="E15" t="s">
        <v>21</v>
      </c>
      <c r="F15">
        <v>700000</v>
      </c>
      <c r="G15">
        <v>3</v>
      </c>
      <c r="H15">
        <v>500000</v>
      </c>
      <c r="I15">
        <f t="shared" si="1"/>
        <v>2100000</v>
      </c>
      <c r="J15">
        <f t="shared" si="2"/>
        <v>1600000</v>
      </c>
    </row>
    <row r="16" spans="1:10" x14ac:dyDescent="0.3">
      <c r="A16" t="str">
        <f t="shared" ca="1" si="0"/>
        <v>C82</v>
      </c>
      <c r="B16" s="2">
        <v>45315</v>
      </c>
      <c r="C16" t="s">
        <v>9</v>
      </c>
      <c r="D16" t="s">
        <v>19</v>
      </c>
      <c r="E16" t="s">
        <v>28</v>
      </c>
      <c r="F16">
        <v>140000</v>
      </c>
      <c r="G16">
        <v>1</v>
      </c>
      <c r="H16">
        <v>100000</v>
      </c>
      <c r="I16">
        <f t="shared" si="1"/>
        <v>140000</v>
      </c>
      <c r="J16">
        <f t="shared" si="2"/>
        <v>40000</v>
      </c>
    </row>
    <row r="17" spans="1:10" x14ac:dyDescent="0.3">
      <c r="A17" t="str">
        <f t="shared" ca="1" si="0"/>
        <v>C27</v>
      </c>
      <c r="B17" s="2">
        <v>45316</v>
      </c>
      <c r="C17" t="s">
        <v>10</v>
      </c>
      <c r="D17" t="s">
        <v>20</v>
      </c>
      <c r="E17" t="s">
        <v>27</v>
      </c>
      <c r="F17">
        <v>600000</v>
      </c>
      <c r="G17">
        <v>4</v>
      </c>
      <c r="H17">
        <v>350000</v>
      </c>
      <c r="I17">
        <f t="shared" si="1"/>
        <v>2400000</v>
      </c>
      <c r="J17">
        <f t="shared" si="2"/>
        <v>2050000</v>
      </c>
    </row>
    <row r="18" spans="1:10" x14ac:dyDescent="0.3">
      <c r="A18" t="str">
        <f t="shared" ca="1" si="0"/>
        <v>C14</v>
      </c>
      <c r="B18" s="2">
        <v>45317</v>
      </c>
      <c r="C18" t="s">
        <v>11</v>
      </c>
      <c r="D18" t="s">
        <v>19</v>
      </c>
      <c r="E18" t="s">
        <v>21</v>
      </c>
      <c r="F18">
        <v>200000</v>
      </c>
      <c r="G18">
        <v>2</v>
      </c>
      <c r="H18">
        <v>150000</v>
      </c>
      <c r="I18">
        <f t="shared" si="1"/>
        <v>400000</v>
      </c>
      <c r="J18">
        <f t="shared" si="2"/>
        <v>250000</v>
      </c>
    </row>
    <row r="19" spans="1:10" x14ac:dyDescent="0.3">
      <c r="A19" t="str">
        <f t="shared" ca="1" si="0"/>
        <v>C43</v>
      </c>
      <c r="B19" s="2">
        <v>45318</v>
      </c>
      <c r="C19" t="s">
        <v>12</v>
      </c>
      <c r="D19" t="s">
        <v>20</v>
      </c>
      <c r="E19" t="s">
        <v>28</v>
      </c>
      <c r="F19">
        <v>20000</v>
      </c>
      <c r="G19">
        <v>5</v>
      </c>
      <c r="H19">
        <v>10000</v>
      </c>
      <c r="I19">
        <f t="shared" si="1"/>
        <v>100000</v>
      </c>
      <c r="J19">
        <f t="shared" si="2"/>
        <v>90000</v>
      </c>
    </row>
    <row r="20" spans="1:10" x14ac:dyDescent="0.3">
      <c r="A20" t="str">
        <f t="shared" ca="1" si="0"/>
        <v>C97</v>
      </c>
      <c r="B20" s="2">
        <v>45319</v>
      </c>
      <c r="C20" t="s">
        <v>13</v>
      </c>
      <c r="D20" t="s">
        <v>20</v>
      </c>
      <c r="E20" t="s">
        <v>21</v>
      </c>
      <c r="F20">
        <v>35000</v>
      </c>
      <c r="G20">
        <v>1</v>
      </c>
      <c r="H20">
        <v>20000</v>
      </c>
      <c r="I20">
        <f t="shared" si="1"/>
        <v>35000</v>
      </c>
      <c r="J20">
        <f t="shared" si="2"/>
        <v>15000</v>
      </c>
    </row>
    <row r="21" spans="1:10" x14ac:dyDescent="0.3">
      <c r="A21" t="str">
        <f t="shared" ca="1" si="0"/>
        <v>C93</v>
      </c>
      <c r="B21" s="2">
        <v>45320</v>
      </c>
      <c r="C21" t="s">
        <v>14</v>
      </c>
      <c r="D21" t="s">
        <v>20</v>
      </c>
      <c r="E21" t="s">
        <v>22</v>
      </c>
      <c r="F21">
        <v>50000</v>
      </c>
      <c r="G21">
        <v>1</v>
      </c>
      <c r="H21">
        <v>35000</v>
      </c>
      <c r="I21">
        <f t="shared" si="1"/>
        <v>50000</v>
      </c>
      <c r="J21">
        <f t="shared" si="2"/>
        <v>15000</v>
      </c>
    </row>
    <row r="22" spans="1:10" x14ac:dyDescent="0.3">
      <c r="A22" t="str">
        <f t="shared" ca="1" si="0"/>
        <v>C62</v>
      </c>
      <c r="B22" s="2">
        <v>45321</v>
      </c>
      <c r="C22" t="s">
        <v>15</v>
      </c>
      <c r="D22" t="s">
        <v>20</v>
      </c>
      <c r="E22" t="s">
        <v>23</v>
      </c>
      <c r="F22">
        <v>150000</v>
      </c>
      <c r="G22">
        <v>1</v>
      </c>
      <c r="H22">
        <v>90000</v>
      </c>
      <c r="I22">
        <f t="shared" si="1"/>
        <v>150000</v>
      </c>
      <c r="J22">
        <f t="shared" si="2"/>
        <v>60000</v>
      </c>
    </row>
    <row r="23" spans="1:10" x14ac:dyDescent="0.3">
      <c r="A23" t="str">
        <f t="shared" ca="1" si="0"/>
        <v>C48</v>
      </c>
      <c r="B23" s="2">
        <v>45322</v>
      </c>
      <c r="C23" t="s">
        <v>16</v>
      </c>
      <c r="D23" t="s">
        <v>19</v>
      </c>
      <c r="E23" t="s">
        <v>21</v>
      </c>
      <c r="F23">
        <v>10000</v>
      </c>
      <c r="G23">
        <v>1</v>
      </c>
      <c r="H23">
        <v>5000</v>
      </c>
      <c r="I23">
        <f t="shared" si="1"/>
        <v>10000</v>
      </c>
      <c r="J23">
        <f t="shared" si="2"/>
        <v>5000</v>
      </c>
    </row>
    <row r="24" spans="1:10" x14ac:dyDescent="0.3">
      <c r="A24" t="str">
        <f t="shared" ca="1" si="0"/>
        <v>C35</v>
      </c>
      <c r="B24" s="2">
        <v>45323</v>
      </c>
      <c r="C24" t="s">
        <v>17</v>
      </c>
      <c r="D24" t="s">
        <v>19</v>
      </c>
      <c r="E24" t="s">
        <v>21</v>
      </c>
      <c r="F24">
        <v>10000</v>
      </c>
      <c r="G24">
        <v>1</v>
      </c>
      <c r="H24">
        <v>5000</v>
      </c>
      <c r="I24">
        <f t="shared" si="1"/>
        <v>10000</v>
      </c>
      <c r="J24">
        <f t="shared" si="2"/>
        <v>5000</v>
      </c>
    </row>
    <row r="25" spans="1:10" x14ac:dyDescent="0.3">
      <c r="A25" t="str">
        <f t="shared" ca="1" si="0"/>
        <v>C45</v>
      </c>
      <c r="B25" s="2">
        <v>45324</v>
      </c>
      <c r="C25" t="s">
        <v>18</v>
      </c>
      <c r="D25" t="s">
        <v>19</v>
      </c>
      <c r="E25" t="s">
        <v>26</v>
      </c>
      <c r="F25">
        <v>8000</v>
      </c>
      <c r="G25">
        <v>2</v>
      </c>
      <c r="H25">
        <v>3000</v>
      </c>
      <c r="I25">
        <f t="shared" si="1"/>
        <v>16000</v>
      </c>
      <c r="J25">
        <f t="shared" si="2"/>
        <v>13000</v>
      </c>
    </row>
    <row r="26" spans="1:10" x14ac:dyDescent="0.3">
      <c r="A26" t="str">
        <f ca="1">"C"&amp;RANDBETWEEN(1,100)</f>
        <v>C18</v>
      </c>
      <c r="B26" s="2">
        <v>45325</v>
      </c>
      <c r="C26" t="s">
        <v>13</v>
      </c>
      <c r="D26" t="s">
        <v>20</v>
      </c>
      <c r="E26" t="s">
        <v>22</v>
      </c>
      <c r="F26">
        <v>25000</v>
      </c>
      <c r="G26">
        <v>2</v>
      </c>
      <c r="H26">
        <v>15000</v>
      </c>
      <c r="I26">
        <f t="shared" si="1"/>
        <v>50000</v>
      </c>
      <c r="J26">
        <f t="shared" si="2"/>
        <v>35000</v>
      </c>
    </row>
    <row r="27" spans="1:10" x14ac:dyDescent="0.3">
      <c r="A27" t="str">
        <f t="shared" ca="1" si="0"/>
        <v>C88</v>
      </c>
      <c r="B27" s="2">
        <v>45326</v>
      </c>
      <c r="C27" t="s">
        <v>14</v>
      </c>
      <c r="D27" t="s">
        <v>20</v>
      </c>
      <c r="E27" t="s">
        <v>27</v>
      </c>
      <c r="F27">
        <v>20000</v>
      </c>
      <c r="G27">
        <v>2</v>
      </c>
      <c r="H27">
        <v>15000</v>
      </c>
      <c r="I27">
        <f t="shared" si="1"/>
        <v>40000</v>
      </c>
      <c r="J27">
        <f t="shared" si="2"/>
        <v>25000</v>
      </c>
    </row>
    <row r="28" spans="1:10" x14ac:dyDescent="0.3">
      <c r="A28" t="str">
        <f t="shared" ca="1" si="0"/>
        <v>C40</v>
      </c>
      <c r="B28" s="2">
        <v>45327</v>
      </c>
      <c r="C28" t="s">
        <v>15</v>
      </c>
      <c r="D28" t="s">
        <v>20</v>
      </c>
      <c r="E28" t="s">
        <v>27</v>
      </c>
      <c r="F28">
        <v>80000</v>
      </c>
      <c r="G28">
        <v>2</v>
      </c>
      <c r="H28">
        <v>50000</v>
      </c>
      <c r="I28">
        <f t="shared" si="1"/>
        <v>160000</v>
      </c>
      <c r="J28">
        <f t="shared" si="2"/>
        <v>110000</v>
      </c>
    </row>
    <row r="29" spans="1:10" x14ac:dyDescent="0.3">
      <c r="A29" t="str">
        <f t="shared" ca="1" si="0"/>
        <v>C11</v>
      </c>
      <c r="B29" s="2">
        <v>45328</v>
      </c>
      <c r="C29" t="s">
        <v>16</v>
      </c>
      <c r="D29" t="s">
        <v>19</v>
      </c>
      <c r="E29" t="s">
        <v>23</v>
      </c>
      <c r="F29">
        <v>10000</v>
      </c>
      <c r="G29">
        <v>3</v>
      </c>
      <c r="H29">
        <v>5000</v>
      </c>
      <c r="I29">
        <f t="shared" si="1"/>
        <v>30000</v>
      </c>
      <c r="J29">
        <f t="shared" si="2"/>
        <v>25000</v>
      </c>
    </row>
    <row r="30" spans="1:10" x14ac:dyDescent="0.3">
      <c r="A30" t="str">
        <f t="shared" ca="1" si="0"/>
        <v>C15</v>
      </c>
      <c r="B30" s="2">
        <v>45329</v>
      </c>
      <c r="C30" t="s">
        <v>17</v>
      </c>
      <c r="D30" t="s">
        <v>19</v>
      </c>
      <c r="E30" t="s">
        <v>28</v>
      </c>
      <c r="F30">
        <v>15000</v>
      </c>
      <c r="G30">
        <v>4</v>
      </c>
      <c r="H30">
        <v>5000</v>
      </c>
      <c r="I30">
        <f t="shared" si="1"/>
        <v>60000</v>
      </c>
      <c r="J30">
        <f t="shared" si="2"/>
        <v>55000</v>
      </c>
    </row>
    <row r="31" spans="1:10" x14ac:dyDescent="0.3">
      <c r="A31" t="str">
        <f t="shared" ca="1" si="0"/>
        <v>C30</v>
      </c>
      <c r="B31" s="2">
        <v>45330</v>
      </c>
      <c r="C31" t="s">
        <v>18</v>
      </c>
      <c r="D31" t="s">
        <v>19</v>
      </c>
      <c r="E31" t="s">
        <v>22</v>
      </c>
      <c r="F31">
        <v>20000</v>
      </c>
      <c r="G31">
        <v>5</v>
      </c>
      <c r="H31">
        <v>10000</v>
      </c>
      <c r="I31">
        <f t="shared" si="1"/>
        <v>100000</v>
      </c>
      <c r="J31">
        <f t="shared" si="2"/>
        <v>90000</v>
      </c>
    </row>
    <row r="32" spans="1:10" x14ac:dyDescent="0.3">
      <c r="A32" t="str">
        <f t="shared" ca="1" si="0"/>
        <v>C2</v>
      </c>
      <c r="B32" s="2">
        <v>45331</v>
      </c>
      <c r="C32" t="s">
        <v>7</v>
      </c>
      <c r="D32" t="s">
        <v>20</v>
      </c>
      <c r="E32" t="s">
        <v>23</v>
      </c>
      <c r="F32">
        <v>700000</v>
      </c>
      <c r="G32">
        <v>1</v>
      </c>
      <c r="H32">
        <v>500000</v>
      </c>
      <c r="I32">
        <f t="shared" si="1"/>
        <v>700000</v>
      </c>
      <c r="J32">
        <f t="shared" si="2"/>
        <v>200000</v>
      </c>
    </row>
    <row r="33" spans="1:10" x14ac:dyDescent="0.3">
      <c r="A33" t="str">
        <f t="shared" ca="1" si="0"/>
        <v>C59</v>
      </c>
      <c r="B33" s="2">
        <v>45332</v>
      </c>
      <c r="C33" t="s">
        <v>8</v>
      </c>
      <c r="D33" t="s">
        <v>20</v>
      </c>
      <c r="E33" t="s">
        <v>24</v>
      </c>
      <c r="F33">
        <v>500000</v>
      </c>
      <c r="G33">
        <v>4</v>
      </c>
      <c r="H33">
        <v>300000</v>
      </c>
      <c r="I33">
        <f t="shared" si="1"/>
        <v>2000000</v>
      </c>
      <c r="J33">
        <f t="shared" si="2"/>
        <v>1700000</v>
      </c>
    </row>
    <row r="34" spans="1:10" x14ac:dyDescent="0.3">
      <c r="A34" t="str">
        <f t="shared" ca="1" si="0"/>
        <v>C33</v>
      </c>
      <c r="B34" s="2">
        <v>45333</v>
      </c>
      <c r="C34" t="s">
        <v>9</v>
      </c>
      <c r="D34" t="s">
        <v>19</v>
      </c>
      <c r="E34" t="s">
        <v>23</v>
      </c>
      <c r="F34">
        <v>25000</v>
      </c>
      <c r="G34">
        <v>1</v>
      </c>
      <c r="H34">
        <v>10000</v>
      </c>
      <c r="I34">
        <f t="shared" si="1"/>
        <v>25000</v>
      </c>
      <c r="J34">
        <f t="shared" si="2"/>
        <v>15000</v>
      </c>
    </row>
    <row r="35" spans="1:10" x14ac:dyDescent="0.3">
      <c r="A35" t="str">
        <f t="shared" ca="1" si="0"/>
        <v>C45</v>
      </c>
      <c r="B35" s="2">
        <v>45334</v>
      </c>
      <c r="C35" t="s">
        <v>9</v>
      </c>
      <c r="D35" t="s">
        <v>19</v>
      </c>
      <c r="E35" t="s">
        <v>21</v>
      </c>
      <c r="F35">
        <v>15000</v>
      </c>
      <c r="G35">
        <v>2</v>
      </c>
      <c r="H35">
        <v>5000</v>
      </c>
      <c r="I35">
        <f t="shared" si="1"/>
        <v>30000</v>
      </c>
      <c r="J35">
        <f t="shared" si="2"/>
        <v>25000</v>
      </c>
    </row>
    <row r="36" spans="1:10" x14ac:dyDescent="0.3">
      <c r="A36" t="str">
        <f t="shared" ca="1" si="0"/>
        <v>C25</v>
      </c>
      <c r="B36" s="2">
        <v>45335</v>
      </c>
      <c r="C36" t="s">
        <v>10</v>
      </c>
      <c r="D36" t="s">
        <v>20</v>
      </c>
      <c r="E36" t="s">
        <v>23</v>
      </c>
      <c r="F36">
        <v>350000</v>
      </c>
      <c r="G36">
        <v>2</v>
      </c>
      <c r="H36">
        <v>250000</v>
      </c>
      <c r="I36">
        <f t="shared" si="1"/>
        <v>700000</v>
      </c>
      <c r="J36">
        <f t="shared" si="2"/>
        <v>450000</v>
      </c>
    </row>
    <row r="37" spans="1:10" x14ac:dyDescent="0.3">
      <c r="A37" t="str">
        <f ca="1">"C"&amp;RANDBETWEEN(1,100)</f>
        <v>C9</v>
      </c>
      <c r="B37" s="2">
        <v>45336</v>
      </c>
      <c r="C37" t="s">
        <v>9</v>
      </c>
      <c r="D37" t="s">
        <v>19</v>
      </c>
      <c r="E37" t="s">
        <v>23</v>
      </c>
      <c r="F37">
        <v>25000</v>
      </c>
      <c r="G37">
        <v>3</v>
      </c>
      <c r="H37">
        <v>10000</v>
      </c>
      <c r="I37">
        <f t="shared" si="1"/>
        <v>75000</v>
      </c>
      <c r="J37">
        <f t="shared" si="2"/>
        <v>65000</v>
      </c>
    </row>
    <row r="38" spans="1:10" x14ac:dyDescent="0.3">
      <c r="A38" t="str">
        <f t="shared" ca="1" si="0"/>
        <v>C45</v>
      </c>
      <c r="B38" s="2">
        <v>45337</v>
      </c>
      <c r="C38" t="s">
        <v>10</v>
      </c>
      <c r="D38" t="s">
        <v>20</v>
      </c>
      <c r="E38" t="s">
        <v>26</v>
      </c>
      <c r="F38">
        <v>400000</v>
      </c>
      <c r="G38">
        <v>3</v>
      </c>
      <c r="H38">
        <v>250000</v>
      </c>
      <c r="I38">
        <f t="shared" si="1"/>
        <v>1200000</v>
      </c>
      <c r="J38">
        <f t="shared" si="2"/>
        <v>950000</v>
      </c>
    </row>
    <row r="39" spans="1:10" x14ac:dyDescent="0.3">
      <c r="A39" t="str">
        <f t="shared" ca="1" si="0"/>
        <v>C85</v>
      </c>
      <c r="B39" s="2">
        <v>45338</v>
      </c>
      <c r="C39" t="s">
        <v>12</v>
      </c>
      <c r="D39" t="s">
        <v>20</v>
      </c>
      <c r="E39" t="s">
        <v>28</v>
      </c>
      <c r="F39">
        <v>45000</v>
      </c>
      <c r="G39">
        <v>3</v>
      </c>
      <c r="H39">
        <v>25000</v>
      </c>
      <c r="I39">
        <f t="shared" si="1"/>
        <v>135000</v>
      </c>
      <c r="J39">
        <f t="shared" si="2"/>
        <v>110000</v>
      </c>
    </row>
    <row r="40" spans="1:10" x14ac:dyDescent="0.3">
      <c r="A40" t="str">
        <f t="shared" ca="1" si="0"/>
        <v>C79</v>
      </c>
      <c r="B40" s="2">
        <v>45339</v>
      </c>
      <c r="C40" t="s">
        <v>13</v>
      </c>
      <c r="D40" t="s">
        <v>20</v>
      </c>
      <c r="E40" t="s">
        <v>21</v>
      </c>
      <c r="F40">
        <v>40000</v>
      </c>
      <c r="G40">
        <v>4</v>
      </c>
      <c r="H40">
        <v>25000</v>
      </c>
      <c r="I40">
        <f t="shared" si="1"/>
        <v>160000</v>
      </c>
      <c r="J40">
        <f t="shared" si="2"/>
        <v>135000</v>
      </c>
    </row>
    <row r="41" spans="1:10" x14ac:dyDescent="0.3">
      <c r="A41" t="str">
        <f t="shared" ca="1" si="0"/>
        <v>C54</v>
      </c>
      <c r="B41" s="2">
        <v>45340</v>
      </c>
      <c r="C41" t="s">
        <v>14</v>
      </c>
      <c r="D41" t="s">
        <v>20</v>
      </c>
      <c r="E41" t="s">
        <v>28</v>
      </c>
      <c r="F41">
        <v>30000</v>
      </c>
      <c r="G41">
        <v>1</v>
      </c>
      <c r="H41">
        <v>15000</v>
      </c>
      <c r="I41">
        <f t="shared" si="1"/>
        <v>30000</v>
      </c>
      <c r="J41">
        <f t="shared" si="2"/>
        <v>15000</v>
      </c>
    </row>
    <row r="42" spans="1:10" x14ac:dyDescent="0.3">
      <c r="A42" t="str">
        <f t="shared" ca="1" si="0"/>
        <v>C11</v>
      </c>
      <c r="B42" s="2">
        <v>45341</v>
      </c>
      <c r="C42" t="s">
        <v>15</v>
      </c>
      <c r="D42" t="s">
        <v>20</v>
      </c>
      <c r="E42" t="s">
        <v>27</v>
      </c>
      <c r="F42">
        <v>100000</v>
      </c>
      <c r="G42">
        <v>2</v>
      </c>
      <c r="H42">
        <v>50000</v>
      </c>
      <c r="I42">
        <f t="shared" si="1"/>
        <v>200000</v>
      </c>
      <c r="J42">
        <f t="shared" si="2"/>
        <v>150000</v>
      </c>
    </row>
    <row r="43" spans="1:10" x14ac:dyDescent="0.3">
      <c r="A43" t="str">
        <f t="shared" ca="1" si="0"/>
        <v>C50</v>
      </c>
      <c r="B43" s="2">
        <v>45342</v>
      </c>
      <c r="C43" t="s">
        <v>16</v>
      </c>
      <c r="D43" t="s">
        <v>19</v>
      </c>
      <c r="E43" t="s">
        <v>21</v>
      </c>
      <c r="F43">
        <v>20000</v>
      </c>
      <c r="G43">
        <v>2</v>
      </c>
      <c r="H43">
        <v>10000</v>
      </c>
      <c r="I43">
        <f t="shared" si="1"/>
        <v>40000</v>
      </c>
      <c r="J43">
        <f t="shared" si="2"/>
        <v>30000</v>
      </c>
    </row>
    <row r="44" spans="1:10" x14ac:dyDescent="0.3">
      <c r="A44" t="str">
        <f t="shared" ca="1" si="0"/>
        <v>C70</v>
      </c>
      <c r="B44" s="2">
        <v>45343</v>
      </c>
      <c r="C44" t="s">
        <v>18</v>
      </c>
      <c r="D44" t="s">
        <v>19</v>
      </c>
      <c r="E44" t="s">
        <v>24</v>
      </c>
      <c r="F44">
        <v>10000</v>
      </c>
      <c r="G44">
        <v>2</v>
      </c>
      <c r="H44">
        <v>3000</v>
      </c>
      <c r="I44">
        <f t="shared" si="1"/>
        <v>20000</v>
      </c>
      <c r="J44">
        <f t="shared" si="2"/>
        <v>17000</v>
      </c>
    </row>
    <row r="45" spans="1:10" x14ac:dyDescent="0.3">
      <c r="A45" t="str">
        <f t="shared" ca="1" si="0"/>
        <v>C55</v>
      </c>
      <c r="B45" s="2">
        <v>45344</v>
      </c>
      <c r="C45" t="s">
        <v>7</v>
      </c>
      <c r="D45" t="s">
        <v>20</v>
      </c>
      <c r="E45" t="s">
        <v>30</v>
      </c>
      <c r="F45">
        <v>800000</v>
      </c>
      <c r="G45">
        <v>2</v>
      </c>
      <c r="H45">
        <v>600000</v>
      </c>
      <c r="I45">
        <f t="shared" si="1"/>
        <v>1600000</v>
      </c>
      <c r="J45">
        <f t="shared" si="2"/>
        <v>1000000</v>
      </c>
    </row>
    <row r="46" spans="1:10" x14ac:dyDescent="0.3">
      <c r="A46" t="str">
        <f t="shared" ca="1" si="0"/>
        <v>C13</v>
      </c>
      <c r="B46" s="2">
        <v>45345</v>
      </c>
      <c r="C46" t="s">
        <v>8</v>
      </c>
      <c r="D46" t="s">
        <v>20</v>
      </c>
      <c r="E46" t="s">
        <v>22</v>
      </c>
      <c r="F46">
        <v>600000</v>
      </c>
      <c r="G46">
        <v>4</v>
      </c>
      <c r="H46">
        <v>450000</v>
      </c>
      <c r="I46">
        <f t="shared" si="1"/>
        <v>2400000</v>
      </c>
      <c r="J46">
        <f t="shared" si="2"/>
        <v>1950000</v>
      </c>
    </row>
    <row r="47" spans="1:10" x14ac:dyDescent="0.3">
      <c r="A47" t="str">
        <f t="shared" ca="1" si="0"/>
        <v>C48</v>
      </c>
      <c r="B47" s="2">
        <v>45346</v>
      </c>
      <c r="C47" t="s">
        <v>9</v>
      </c>
      <c r="D47" t="s">
        <v>19</v>
      </c>
      <c r="E47" t="s">
        <v>22</v>
      </c>
      <c r="F47">
        <v>50000</v>
      </c>
      <c r="G47">
        <v>5</v>
      </c>
      <c r="H47">
        <v>30000</v>
      </c>
      <c r="I47">
        <f t="shared" si="1"/>
        <v>250000</v>
      </c>
      <c r="J47">
        <f t="shared" si="2"/>
        <v>220000</v>
      </c>
    </row>
    <row r="48" spans="1:10" x14ac:dyDescent="0.3">
      <c r="A48" t="str">
        <f t="shared" ca="1" si="0"/>
        <v>C48</v>
      </c>
      <c r="B48" s="2">
        <v>45347</v>
      </c>
      <c r="C48" t="s">
        <v>9</v>
      </c>
      <c r="D48" t="s">
        <v>19</v>
      </c>
      <c r="E48" t="s">
        <v>30</v>
      </c>
      <c r="F48">
        <v>50000</v>
      </c>
      <c r="G48">
        <v>1</v>
      </c>
      <c r="H48">
        <v>30000</v>
      </c>
      <c r="I48">
        <f t="shared" si="1"/>
        <v>50000</v>
      </c>
      <c r="J48">
        <f t="shared" si="2"/>
        <v>20000</v>
      </c>
    </row>
    <row r="49" spans="1:10" x14ac:dyDescent="0.3">
      <c r="A49" t="str">
        <f t="shared" ca="1" si="0"/>
        <v>C21</v>
      </c>
      <c r="B49" s="2">
        <v>45348</v>
      </c>
      <c r="C49" t="s">
        <v>10</v>
      </c>
      <c r="D49" t="s">
        <v>20</v>
      </c>
      <c r="E49" t="s">
        <v>21</v>
      </c>
      <c r="F49">
        <v>400000</v>
      </c>
      <c r="G49">
        <v>1</v>
      </c>
      <c r="H49">
        <v>250000</v>
      </c>
      <c r="I49">
        <f t="shared" si="1"/>
        <v>400000</v>
      </c>
      <c r="J49">
        <f t="shared" si="2"/>
        <v>150000</v>
      </c>
    </row>
    <row r="50" spans="1:10" x14ac:dyDescent="0.3">
      <c r="A50" t="str">
        <f ca="1">"C"&amp;RANDBETWEEN(1,100)</f>
        <v>C73</v>
      </c>
      <c r="B50" s="2">
        <v>45349</v>
      </c>
      <c r="C50" t="s">
        <v>9</v>
      </c>
      <c r="D50" t="s">
        <v>19</v>
      </c>
      <c r="E50" t="s">
        <v>21</v>
      </c>
      <c r="F50">
        <v>20000</v>
      </c>
      <c r="G50">
        <v>1</v>
      </c>
      <c r="H50">
        <v>10000</v>
      </c>
      <c r="I50">
        <f t="shared" si="1"/>
        <v>20000</v>
      </c>
      <c r="J50">
        <f t="shared" si="2"/>
        <v>10000</v>
      </c>
    </row>
    <row r="51" spans="1:10" x14ac:dyDescent="0.3">
      <c r="B51" s="2"/>
    </row>
    <row r="52" spans="1:10" x14ac:dyDescent="0.3">
      <c r="B52" s="2"/>
    </row>
    <row r="53" spans="1:10" x14ac:dyDescent="0.3">
      <c r="B53" s="2"/>
    </row>
    <row r="54" spans="1:10" x14ac:dyDescent="0.3">
      <c r="B54" s="2"/>
    </row>
    <row r="55" spans="1:10" x14ac:dyDescent="0.3">
      <c r="B55" s="2"/>
    </row>
    <row r="56" spans="1:10" x14ac:dyDescent="0.3">
      <c r="B56" s="2"/>
    </row>
    <row r="57" spans="1:10" x14ac:dyDescent="0.3">
      <c r="B57" s="2"/>
    </row>
    <row r="58" spans="1:10" x14ac:dyDescent="0.3">
      <c r="B58" s="2"/>
    </row>
    <row r="59" spans="1:10" x14ac:dyDescent="0.3">
      <c r="B59" s="2"/>
    </row>
    <row r="60" spans="1:10" x14ac:dyDescent="0.3">
      <c r="B60" s="2"/>
    </row>
    <row r="61" spans="1:10" x14ac:dyDescent="0.3">
      <c r="B61" s="2"/>
    </row>
    <row r="62" spans="1:10" x14ac:dyDescent="0.3">
      <c r="B62" s="2"/>
    </row>
    <row r="63" spans="1:10" x14ac:dyDescent="0.3">
      <c r="B63" s="2"/>
    </row>
    <row r="64" spans="1:10" x14ac:dyDescent="0.3">
      <c r="B64" s="2"/>
    </row>
    <row r="65" spans="2:2" x14ac:dyDescent="0.3">
      <c r="B65" s="2"/>
    </row>
    <row r="66" spans="2:2" x14ac:dyDescent="0.3">
      <c r="B66" s="2"/>
    </row>
    <row r="67" spans="2:2" x14ac:dyDescent="0.3">
      <c r="B67" s="2"/>
    </row>
    <row r="68" spans="2:2" x14ac:dyDescent="0.3">
      <c r="B68" s="2"/>
    </row>
    <row r="69" spans="2:2" x14ac:dyDescent="0.3">
      <c r="B69" s="2"/>
    </row>
    <row r="70" spans="2:2" x14ac:dyDescent="0.3">
      <c r="B70" s="2"/>
    </row>
    <row r="71" spans="2:2" x14ac:dyDescent="0.3">
      <c r="B71" s="2"/>
    </row>
    <row r="72" spans="2:2" x14ac:dyDescent="0.3">
      <c r="B72" s="2"/>
    </row>
    <row r="73" spans="2:2" x14ac:dyDescent="0.3">
      <c r="B73" s="2"/>
    </row>
    <row r="74" spans="2:2" x14ac:dyDescent="0.3">
      <c r="B74" s="2"/>
    </row>
    <row r="75" spans="2:2" x14ac:dyDescent="0.3">
      <c r="B75" s="2"/>
    </row>
    <row r="76" spans="2:2" x14ac:dyDescent="0.3">
      <c r="B76" s="2"/>
    </row>
    <row r="77" spans="2:2" x14ac:dyDescent="0.3">
      <c r="B77" s="2"/>
    </row>
    <row r="78" spans="2:2" x14ac:dyDescent="0.3">
      <c r="B78" s="2"/>
    </row>
    <row r="79" spans="2:2" x14ac:dyDescent="0.3">
      <c r="B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4"/>
  <sheetViews>
    <sheetView topLeftCell="A18" workbookViewId="0">
      <selection activeCell="A3" sqref="A3:D44"/>
    </sheetView>
  </sheetViews>
  <sheetFormatPr baseColWidth="10" defaultRowHeight="14.4" x14ac:dyDescent="0.3"/>
  <cols>
    <col min="1" max="1" width="16.5546875" customWidth="1"/>
    <col min="2" max="2" width="18.21875" customWidth="1"/>
    <col min="3" max="3" width="13" customWidth="1"/>
    <col min="4" max="4" width="17.5546875" customWidth="1"/>
  </cols>
  <sheetData>
    <row r="3" spans="1:4" x14ac:dyDescent="0.3">
      <c r="A3" s="3" t="s">
        <v>75</v>
      </c>
      <c r="B3" t="s">
        <v>76</v>
      </c>
      <c r="C3" t="s">
        <v>77</v>
      </c>
      <c r="D3" t="s">
        <v>78</v>
      </c>
    </row>
    <row r="4" spans="1:4" x14ac:dyDescent="0.3">
      <c r="A4" s="4" t="s">
        <v>34</v>
      </c>
      <c r="B4" s="5">
        <v>1</v>
      </c>
      <c r="C4" s="5">
        <v>100000</v>
      </c>
      <c r="D4" s="5">
        <v>100000</v>
      </c>
    </row>
    <row r="5" spans="1:4" x14ac:dyDescent="0.3">
      <c r="A5" s="4" t="s">
        <v>35</v>
      </c>
      <c r="B5" s="5">
        <v>3</v>
      </c>
      <c r="C5" s="5">
        <v>2450000</v>
      </c>
      <c r="D5" s="5">
        <v>816666.66666666663</v>
      </c>
    </row>
    <row r="6" spans="1:4" x14ac:dyDescent="0.3">
      <c r="A6" s="4" t="s">
        <v>36</v>
      </c>
      <c r="B6" s="5">
        <v>2</v>
      </c>
      <c r="C6" s="5">
        <v>835000</v>
      </c>
      <c r="D6" s="5">
        <v>417500</v>
      </c>
    </row>
    <row r="7" spans="1:4" x14ac:dyDescent="0.3">
      <c r="A7" s="4" t="s">
        <v>37</v>
      </c>
      <c r="B7" s="5">
        <v>1</v>
      </c>
      <c r="C7" s="5">
        <v>70000</v>
      </c>
      <c r="D7" s="5">
        <v>70000</v>
      </c>
    </row>
    <row r="8" spans="1:4" x14ac:dyDescent="0.3">
      <c r="A8" s="4" t="s">
        <v>38</v>
      </c>
      <c r="B8" s="5">
        <v>1</v>
      </c>
      <c r="C8" s="5">
        <v>2400000</v>
      </c>
      <c r="D8" s="5">
        <v>2400000</v>
      </c>
    </row>
    <row r="9" spans="1:4" x14ac:dyDescent="0.3">
      <c r="A9" s="4" t="s">
        <v>39</v>
      </c>
      <c r="B9" s="5">
        <v>1</v>
      </c>
      <c r="C9" s="5">
        <v>10000</v>
      </c>
      <c r="D9" s="5">
        <v>10000</v>
      </c>
    </row>
    <row r="10" spans="1:4" x14ac:dyDescent="0.3">
      <c r="A10" s="4" t="s">
        <v>40</v>
      </c>
      <c r="B10" s="5">
        <v>1</v>
      </c>
      <c r="C10" s="5">
        <v>700000</v>
      </c>
      <c r="D10" s="5">
        <v>700000</v>
      </c>
    </row>
    <row r="11" spans="1:4" x14ac:dyDescent="0.3">
      <c r="A11" s="4" t="s">
        <v>41</v>
      </c>
      <c r="B11" s="5">
        <v>1</v>
      </c>
      <c r="C11" s="5">
        <v>16000</v>
      </c>
      <c r="D11" s="5">
        <v>16000</v>
      </c>
    </row>
    <row r="12" spans="1:4" x14ac:dyDescent="0.3">
      <c r="A12" s="4" t="s">
        <v>42</v>
      </c>
      <c r="B12" s="5">
        <v>1</v>
      </c>
      <c r="C12" s="5">
        <v>30000</v>
      </c>
      <c r="D12" s="5">
        <v>30000</v>
      </c>
    </row>
    <row r="13" spans="1:4" x14ac:dyDescent="0.3">
      <c r="A13" s="4" t="s">
        <v>43</v>
      </c>
      <c r="B13" s="5">
        <v>1</v>
      </c>
      <c r="C13" s="5">
        <v>100000</v>
      </c>
      <c r="D13" s="5">
        <v>100000</v>
      </c>
    </row>
    <row r="14" spans="1:4" x14ac:dyDescent="0.3">
      <c r="A14" s="4" t="s">
        <v>44</v>
      </c>
      <c r="B14" s="5">
        <v>1</v>
      </c>
      <c r="C14" s="5">
        <v>50000</v>
      </c>
      <c r="D14" s="5">
        <v>50000</v>
      </c>
    </row>
    <row r="15" spans="1:4" x14ac:dyDescent="0.3">
      <c r="A15" s="4" t="s">
        <v>45</v>
      </c>
      <c r="B15" s="5">
        <v>2</v>
      </c>
      <c r="C15" s="5">
        <v>1260000</v>
      </c>
      <c r="D15" s="5">
        <v>630000</v>
      </c>
    </row>
    <row r="16" spans="1:4" x14ac:dyDescent="0.3">
      <c r="A16" s="4" t="s">
        <v>46</v>
      </c>
      <c r="B16" s="5">
        <v>1</v>
      </c>
      <c r="C16" s="5">
        <v>75000</v>
      </c>
      <c r="D16" s="5">
        <v>75000</v>
      </c>
    </row>
    <row r="17" spans="1:4" x14ac:dyDescent="0.3">
      <c r="A17" s="4" t="s">
        <v>47</v>
      </c>
      <c r="B17" s="5">
        <v>2</v>
      </c>
      <c r="C17" s="5">
        <v>420000</v>
      </c>
      <c r="D17" s="5">
        <v>210000</v>
      </c>
    </row>
    <row r="18" spans="1:4" x14ac:dyDescent="0.3">
      <c r="A18" s="4" t="s">
        <v>48</v>
      </c>
      <c r="B18" s="5">
        <v>1</v>
      </c>
      <c r="C18" s="5">
        <v>2100000</v>
      </c>
      <c r="D18" s="5">
        <v>2100000</v>
      </c>
    </row>
    <row r="19" spans="1:4" x14ac:dyDescent="0.3">
      <c r="A19" s="4" t="s">
        <v>49</v>
      </c>
      <c r="B19" s="5">
        <v>1</v>
      </c>
      <c r="C19" s="5">
        <v>400000</v>
      </c>
      <c r="D19" s="5">
        <v>400000</v>
      </c>
    </row>
    <row r="20" spans="1:4" x14ac:dyDescent="0.3">
      <c r="A20" s="4" t="s">
        <v>50</v>
      </c>
      <c r="B20" s="5">
        <v>1</v>
      </c>
      <c r="C20" s="5">
        <v>25000</v>
      </c>
      <c r="D20" s="5">
        <v>25000</v>
      </c>
    </row>
    <row r="21" spans="1:4" x14ac:dyDescent="0.3">
      <c r="A21" s="4" t="s">
        <v>51</v>
      </c>
      <c r="B21" s="5">
        <v>2</v>
      </c>
      <c r="C21" s="5">
        <v>2030000</v>
      </c>
      <c r="D21" s="5">
        <v>1015000</v>
      </c>
    </row>
    <row r="22" spans="1:4" x14ac:dyDescent="0.3">
      <c r="A22" s="4" t="s">
        <v>52</v>
      </c>
      <c r="B22" s="5">
        <v>1</v>
      </c>
      <c r="C22" s="5">
        <v>160000</v>
      </c>
      <c r="D22" s="5">
        <v>160000</v>
      </c>
    </row>
    <row r="23" spans="1:4" x14ac:dyDescent="0.3">
      <c r="A23" s="4" t="s">
        <v>53</v>
      </c>
      <c r="B23" s="5">
        <v>1</v>
      </c>
      <c r="C23" s="5">
        <v>300000</v>
      </c>
      <c r="D23" s="5">
        <v>300000</v>
      </c>
    </row>
    <row r="24" spans="1:4" x14ac:dyDescent="0.3">
      <c r="A24" s="4" t="s">
        <v>54</v>
      </c>
      <c r="B24" s="5">
        <v>3</v>
      </c>
      <c r="C24" s="5">
        <v>1320000</v>
      </c>
      <c r="D24" s="5">
        <v>440000</v>
      </c>
    </row>
    <row r="25" spans="1:4" x14ac:dyDescent="0.3">
      <c r="A25" s="4" t="s">
        <v>55</v>
      </c>
      <c r="B25" s="5">
        <v>1</v>
      </c>
      <c r="C25" s="5">
        <v>30000</v>
      </c>
      <c r="D25" s="5">
        <v>30000</v>
      </c>
    </row>
    <row r="26" spans="1:4" x14ac:dyDescent="0.3">
      <c r="A26" s="4" t="s">
        <v>56</v>
      </c>
      <c r="B26" s="5">
        <v>1</v>
      </c>
      <c r="C26" s="5">
        <v>40000</v>
      </c>
      <c r="D26" s="5">
        <v>40000</v>
      </c>
    </row>
    <row r="27" spans="1:4" x14ac:dyDescent="0.3">
      <c r="A27" s="4" t="s">
        <v>57</v>
      </c>
      <c r="B27" s="5">
        <v>1</v>
      </c>
      <c r="C27" s="5">
        <v>50000</v>
      </c>
      <c r="D27" s="5">
        <v>50000</v>
      </c>
    </row>
    <row r="28" spans="1:4" x14ac:dyDescent="0.3">
      <c r="A28" s="4" t="s">
        <v>58</v>
      </c>
      <c r="B28" s="5">
        <v>2</v>
      </c>
      <c r="C28" s="5">
        <v>155000</v>
      </c>
      <c r="D28" s="5">
        <v>77500</v>
      </c>
    </row>
    <row r="29" spans="1:4" x14ac:dyDescent="0.3">
      <c r="A29" s="4" t="s">
        <v>59</v>
      </c>
      <c r="B29" s="5">
        <v>1</v>
      </c>
      <c r="C29" s="5">
        <v>200000</v>
      </c>
      <c r="D29" s="5">
        <v>200000</v>
      </c>
    </row>
    <row r="30" spans="1:4" x14ac:dyDescent="0.3">
      <c r="A30" s="4" t="s">
        <v>60</v>
      </c>
      <c r="B30" s="5">
        <v>1</v>
      </c>
      <c r="C30" s="5">
        <v>200000</v>
      </c>
      <c r="D30" s="5">
        <v>200000</v>
      </c>
    </row>
    <row r="31" spans="1:4" x14ac:dyDescent="0.3">
      <c r="A31" s="4" t="s">
        <v>61</v>
      </c>
      <c r="B31" s="5">
        <v>1</v>
      </c>
      <c r="C31" s="5">
        <v>2400000</v>
      </c>
      <c r="D31" s="5">
        <v>2400000</v>
      </c>
    </row>
    <row r="32" spans="1:4" x14ac:dyDescent="0.3">
      <c r="A32" s="4" t="s">
        <v>62</v>
      </c>
      <c r="B32" s="5">
        <v>1</v>
      </c>
      <c r="C32" s="5">
        <v>30000</v>
      </c>
      <c r="D32" s="5">
        <v>30000</v>
      </c>
    </row>
    <row r="33" spans="1:4" x14ac:dyDescent="0.3">
      <c r="A33" s="4" t="s">
        <v>63</v>
      </c>
      <c r="B33" s="5">
        <v>1</v>
      </c>
      <c r="C33" s="5">
        <v>50000</v>
      </c>
      <c r="D33" s="5">
        <v>50000</v>
      </c>
    </row>
    <row r="34" spans="1:4" x14ac:dyDescent="0.3">
      <c r="A34" s="4" t="s">
        <v>64</v>
      </c>
      <c r="B34" s="5">
        <v>1</v>
      </c>
      <c r="C34" s="5">
        <v>160000</v>
      </c>
      <c r="D34" s="5">
        <v>160000</v>
      </c>
    </row>
    <row r="35" spans="1:4" x14ac:dyDescent="0.3">
      <c r="A35" s="4" t="s">
        <v>65</v>
      </c>
      <c r="B35" s="5">
        <v>1</v>
      </c>
      <c r="C35" s="5">
        <v>250000</v>
      </c>
      <c r="D35" s="5">
        <v>250000</v>
      </c>
    </row>
    <row r="36" spans="1:4" x14ac:dyDescent="0.3">
      <c r="A36" s="4" t="s">
        <v>66</v>
      </c>
      <c r="B36" s="5">
        <v>1</v>
      </c>
      <c r="C36" s="5">
        <v>10000</v>
      </c>
      <c r="D36" s="5">
        <v>10000</v>
      </c>
    </row>
    <row r="37" spans="1:4" x14ac:dyDescent="0.3">
      <c r="A37" s="4" t="s">
        <v>67</v>
      </c>
      <c r="B37" s="5">
        <v>1</v>
      </c>
      <c r="C37" s="5">
        <v>1600000</v>
      </c>
      <c r="D37" s="5">
        <v>1600000</v>
      </c>
    </row>
    <row r="38" spans="1:4" x14ac:dyDescent="0.3">
      <c r="A38" s="4" t="s">
        <v>68</v>
      </c>
      <c r="B38" s="5">
        <v>1</v>
      </c>
      <c r="C38" s="5">
        <v>150000</v>
      </c>
      <c r="D38" s="5">
        <v>150000</v>
      </c>
    </row>
    <row r="39" spans="1:4" x14ac:dyDescent="0.3">
      <c r="A39" s="4" t="s">
        <v>69</v>
      </c>
      <c r="B39" s="5">
        <v>1</v>
      </c>
      <c r="C39" s="5">
        <v>35000</v>
      </c>
      <c r="D39" s="5">
        <v>35000</v>
      </c>
    </row>
    <row r="40" spans="1:4" x14ac:dyDescent="0.3">
      <c r="A40" s="4" t="s">
        <v>70</v>
      </c>
      <c r="B40" s="5">
        <v>1</v>
      </c>
      <c r="C40" s="5">
        <v>50000</v>
      </c>
      <c r="D40" s="5">
        <v>50000</v>
      </c>
    </row>
    <row r="41" spans="1:4" x14ac:dyDescent="0.3">
      <c r="A41" s="4" t="s">
        <v>71</v>
      </c>
      <c r="B41" s="5">
        <v>1</v>
      </c>
      <c r="C41" s="5">
        <v>3000000</v>
      </c>
      <c r="D41" s="5">
        <v>3000000</v>
      </c>
    </row>
    <row r="42" spans="1:4" x14ac:dyDescent="0.3">
      <c r="A42" s="4" t="s">
        <v>72</v>
      </c>
      <c r="B42" s="5">
        <v>1</v>
      </c>
      <c r="C42" s="5">
        <v>200000</v>
      </c>
      <c r="D42" s="5">
        <v>200000</v>
      </c>
    </row>
    <row r="43" spans="1:4" x14ac:dyDescent="0.3">
      <c r="A43" s="4" t="s">
        <v>73</v>
      </c>
      <c r="B43" s="5">
        <v>1</v>
      </c>
      <c r="C43" s="5">
        <v>40000</v>
      </c>
      <c r="D43" s="5">
        <v>40000</v>
      </c>
    </row>
    <row r="44" spans="1:4" x14ac:dyDescent="0.3">
      <c r="A44" s="4" t="s">
        <v>74</v>
      </c>
      <c r="B44" s="5">
        <v>49</v>
      </c>
      <c r="C44" s="5">
        <v>23501000</v>
      </c>
      <c r="D44" s="5">
        <v>479612.24489795917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topLeftCell="A25" workbookViewId="0">
      <selection activeCell="B41" sqref="B41"/>
    </sheetView>
  </sheetViews>
  <sheetFormatPr baseColWidth="10" defaultRowHeight="14.4" x14ac:dyDescent="0.3"/>
  <cols>
    <col min="4" max="4" width="14.21875" bestFit="1" customWidth="1"/>
  </cols>
  <sheetData>
    <row r="1" spans="1:5" x14ac:dyDescent="0.3">
      <c r="A1" s="1" t="s">
        <v>31</v>
      </c>
      <c r="B1" s="1" t="s">
        <v>76</v>
      </c>
      <c r="C1" s="1" t="s">
        <v>77</v>
      </c>
      <c r="D1" s="1" t="s">
        <v>78</v>
      </c>
      <c r="E1" s="1" t="s">
        <v>79</v>
      </c>
    </row>
    <row r="2" spans="1:5" x14ac:dyDescent="0.3">
      <c r="A2" s="1" t="s">
        <v>34</v>
      </c>
      <c r="B2" s="1">
        <v>1</v>
      </c>
      <c r="C2" s="1">
        <v>100000</v>
      </c>
      <c r="D2" s="1">
        <v>100000</v>
      </c>
      <c r="E2" s="1" t="str">
        <f>IF(B2&gt;=3,"Frecuente",IF(C2&gt;=100000,"VIP","Ocasional"))</f>
        <v>VIP</v>
      </c>
    </row>
    <row r="3" spans="1:5" x14ac:dyDescent="0.3">
      <c r="A3" s="1" t="s">
        <v>35</v>
      </c>
      <c r="B3" s="1">
        <v>3</v>
      </c>
      <c r="C3" s="1">
        <v>2450000</v>
      </c>
      <c r="D3" s="1">
        <v>816666.66666666663</v>
      </c>
      <c r="E3" s="1" t="str">
        <f t="shared" ref="E3:E42" si="0">IF(B3&gt;=3,"Frecuente",IF(C3&gt;=100000,"VIP","Ocasional"))</f>
        <v>Frecuente</v>
      </c>
    </row>
    <row r="4" spans="1:5" x14ac:dyDescent="0.3">
      <c r="A4" s="1" t="s">
        <v>36</v>
      </c>
      <c r="B4" s="1">
        <v>2</v>
      </c>
      <c r="C4" s="1">
        <v>835000</v>
      </c>
      <c r="D4" s="1">
        <v>417500</v>
      </c>
      <c r="E4" s="1" t="str">
        <f t="shared" si="0"/>
        <v>VIP</v>
      </c>
    </row>
    <row r="5" spans="1:5" x14ac:dyDescent="0.3">
      <c r="A5" s="1" t="s">
        <v>37</v>
      </c>
      <c r="B5" s="1">
        <v>1</v>
      </c>
      <c r="C5" s="1">
        <v>70000</v>
      </c>
      <c r="D5" s="1">
        <v>70000</v>
      </c>
      <c r="E5" s="1" t="str">
        <f t="shared" si="0"/>
        <v>Ocasional</v>
      </c>
    </row>
    <row r="6" spans="1:5" x14ac:dyDescent="0.3">
      <c r="A6" s="1" t="s">
        <v>38</v>
      </c>
      <c r="B6" s="1">
        <v>1</v>
      </c>
      <c r="C6" s="1">
        <v>2400000</v>
      </c>
      <c r="D6" s="1">
        <v>2400000</v>
      </c>
      <c r="E6" s="1" t="str">
        <f t="shared" si="0"/>
        <v>VIP</v>
      </c>
    </row>
    <row r="7" spans="1:5" x14ac:dyDescent="0.3">
      <c r="A7" s="1" t="s">
        <v>39</v>
      </c>
      <c r="B7" s="1">
        <v>1</v>
      </c>
      <c r="C7" s="1">
        <v>10000</v>
      </c>
      <c r="D7" s="1">
        <v>10000</v>
      </c>
      <c r="E7" s="1" t="str">
        <f t="shared" si="0"/>
        <v>Ocasional</v>
      </c>
    </row>
    <row r="8" spans="1:5" x14ac:dyDescent="0.3">
      <c r="A8" s="1" t="s">
        <v>40</v>
      </c>
      <c r="B8" s="1">
        <v>1</v>
      </c>
      <c r="C8" s="1">
        <v>700000</v>
      </c>
      <c r="D8" s="1">
        <v>700000</v>
      </c>
      <c r="E8" s="1" t="str">
        <f t="shared" si="0"/>
        <v>VIP</v>
      </c>
    </row>
    <row r="9" spans="1:5" x14ac:dyDescent="0.3">
      <c r="A9" s="1" t="s">
        <v>41</v>
      </c>
      <c r="B9" s="1">
        <v>1</v>
      </c>
      <c r="C9" s="1">
        <v>16000</v>
      </c>
      <c r="D9" s="1">
        <v>16000</v>
      </c>
      <c r="E9" s="1" t="str">
        <f t="shared" si="0"/>
        <v>Ocasional</v>
      </c>
    </row>
    <row r="10" spans="1:5" x14ac:dyDescent="0.3">
      <c r="A10" s="1" t="s">
        <v>42</v>
      </c>
      <c r="B10" s="1">
        <v>1</v>
      </c>
      <c r="C10" s="1">
        <v>30000</v>
      </c>
      <c r="D10" s="1">
        <v>30000</v>
      </c>
      <c r="E10" s="1" t="str">
        <f t="shared" si="0"/>
        <v>Ocasional</v>
      </c>
    </row>
    <row r="11" spans="1:5" x14ac:dyDescent="0.3">
      <c r="A11" s="1" t="s">
        <v>43</v>
      </c>
      <c r="B11" s="1">
        <v>1</v>
      </c>
      <c r="C11" s="1">
        <v>100000</v>
      </c>
      <c r="D11" s="1">
        <v>100000</v>
      </c>
      <c r="E11" s="1" t="str">
        <f t="shared" si="0"/>
        <v>VIP</v>
      </c>
    </row>
    <row r="12" spans="1:5" x14ac:dyDescent="0.3">
      <c r="A12" s="1" t="s">
        <v>44</v>
      </c>
      <c r="B12" s="1">
        <v>1</v>
      </c>
      <c r="C12" s="1">
        <v>50000</v>
      </c>
      <c r="D12" s="1">
        <v>50000</v>
      </c>
      <c r="E12" s="1" t="str">
        <f t="shared" si="0"/>
        <v>Ocasional</v>
      </c>
    </row>
    <row r="13" spans="1:5" x14ac:dyDescent="0.3">
      <c r="A13" s="1" t="s">
        <v>45</v>
      </c>
      <c r="B13" s="1">
        <v>2</v>
      </c>
      <c r="C13" s="1">
        <v>1260000</v>
      </c>
      <c r="D13" s="1">
        <v>630000</v>
      </c>
      <c r="E13" s="1" t="str">
        <f t="shared" si="0"/>
        <v>VIP</v>
      </c>
    </row>
    <row r="14" spans="1:5" x14ac:dyDescent="0.3">
      <c r="A14" s="1" t="s">
        <v>46</v>
      </c>
      <c r="B14" s="1">
        <v>1</v>
      </c>
      <c r="C14" s="1">
        <v>75000</v>
      </c>
      <c r="D14" s="1">
        <v>75000</v>
      </c>
      <c r="E14" s="1" t="str">
        <f t="shared" si="0"/>
        <v>Ocasional</v>
      </c>
    </row>
    <row r="15" spans="1:5" x14ac:dyDescent="0.3">
      <c r="A15" s="1" t="s">
        <v>47</v>
      </c>
      <c r="B15" s="1">
        <v>2</v>
      </c>
      <c r="C15" s="1">
        <v>420000</v>
      </c>
      <c r="D15" s="1">
        <v>210000</v>
      </c>
      <c r="E15" s="1" t="str">
        <f t="shared" si="0"/>
        <v>VIP</v>
      </c>
    </row>
    <row r="16" spans="1:5" x14ac:dyDescent="0.3">
      <c r="A16" s="1" t="s">
        <v>48</v>
      </c>
      <c r="B16" s="1">
        <v>1</v>
      </c>
      <c r="C16" s="1">
        <v>2100000</v>
      </c>
      <c r="D16" s="1">
        <v>2100000</v>
      </c>
      <c r="E16" s="1" t="str">
        <f t="shared" si="0"/>
        <v>VIP</v>
      </c>
    </row>
    <row r="17" spans="1:5" x14ac:dyDescent="0.3">
      <c r="A17" s="1" t="s">
        <v>49</v>
      </c>
      <c r="B17" s="1">
        <v>1</v>
      </c>
      <c r="C17" s="1">
        <v>400000</v>
      </c>
      <c r="D17" s="1">
        <v>400000</v>
      </c>
      <c r="E17" s="1" t="str">
        <f t="shared" si="0"/>
        <v>VIP</v>
      </c>
    </row>
    <row r="18" spans="1:5" x14ac:dyDescent="0.3">
      <c r="A18" s="1" t="s">
        <v>50</v>
      </c>
      <c r="B18" s="1">
        <v>1</v>
      </c>
      <c r="C18" s="1">
        <v>25000</v>
      </c>
      <c r="D18" s="1">
        <v>25000</v>
      </c>
      <c r="E18" s="1" t="str">
        <f t="shared" si="0"/>
        <v>Ocasional</v>
      </c>
    </row>
    <row r="19" spans="1:5" x14ac:dyDescent="0.3">
      <c r="A19" s="1" t="s">
        <v>51</v>
      </c>
      <c r="B19" s="1">
        <v>2</v>
      </c>
      <c r="C19" s="1">
        <v>2030000</v>
      </c>
      <c r="D19" s="1">
        <v>1015000</v>
      </c>
      <c r="E19" s="1" t="str">
        <f t="shared" si="0"/>
        <v>VIP</v>
      </c>
    </row>
    <row r="20" spans="1:5" x14ac:dyDescent="0.3">
      <c r="A20" s="1" t="s">
        <v>52</v>
      </c>
      <c r="B20" s="1">
        <v>1</v>
      </c>
      <c r="C20" s="1">
        <v>160000</v>
      </c>
      <c r="D20" s="1">
        <v>160000</v>
      </c>
      <c r="E20" s="1" t="str">
        <f t="shared" si="0"/>
        <v>VIP</v>
      </c>
    </row>
    <row r="21" spans="1:5" x14ac:dyDescent="0.3">
      <c r="A21" s="1" t="s">
        <v>53</v>
      </c>
      <c r="B21" s="1">
        <v>1</v>
      </c>
      <c r="C21" s="1">
        <v>300000</v>
      </c>
      <c r="D21" s="1">
        <v>300000</v>
      </c>
      <c r="E21" s="1" t="str">
        <f t="shared" si="0"/>
        <v>VIP</v>
      </c>
    </row>
    <row r="22" spans="1:5" x14ac:dyDescent="0.3">
      <c r="A22" s="1" t="s">
        <v>54</v>
      </c>
      <c r="B22" s="1">
        <v>3</v>
      </c>
      <c r="C22" s="1">
        <v>1320000</v>
      </c>
      <c r="D22" s="1">
        <v>440000</v>
      </c>
      <c r="E22" s="1" t="str">
        <f t="shared" si="0"/>
        <v>Frecuente</v>
      </c>
    </row>
    <row r="23" spans="1:5" x14ac:dyDescent="0.3">
      <c r="A23" s="1" t="s">
        <v>55</v>
      </c>
      <c r="B23" s="1">
        <v>1</v>
      </c>
      <c r="C23" s="1">
        <v>30000</v>
      </c>
      <c r="D23" s="1">
        <v>30000</v>
      </c>
      <c r="E23" s="1" t="str">
        <f t="shared" si="0"/>
        <v>Ocasional</v>
      </c>
    </row>
    <row r="24" spans="1:5" x14ac:dyDescent="0.3">
      <c r="A24" s="1" t="s">
        <v>56</v>
      </c>
      <c r="B24" s="1">
        <v>1</v>
      </c>
      <c r="C24" s="1">
        <v>40000</v>
      </c>
      <c r="D24" s="1">
        <v>40000</v>
      </c>
      <c r="E24" s="1" t="str">
        <f t="shared" si="0"/>
        <v>Ocasional</v>
      </c>
    </row>
    <row r="25" spans="1:5" x14ac:dyDescent="0.3">
      <c r="A25" s="1" t="s">
        <v>57</v>
      </c>
      <c r="B25" s="1">
        <v>1</v>
      </c>
      <c r="C25" s="1">
        <v>50000</v>
      </c>
      <c r="D25" s="1">
        <v>50000</v>
      </c>
      <c r="E25" s="1" t="str">
        <f t="shared" si="0"/>
        <v>Ocasional</v>
      </c>
    </row>
    <row r="26" spans="1:5" x14ac:dyDescent="0.3">
      <c r="A26" s="1" t="s">
        <v>58</v>
      </c>
      <c r="B26" s="1">
        <v>2</v>
      </c>
      <c r="C26" s="1">
        <v>155000</v>
      </c>
      <c r="D26" s="1">
        <v>77500</v>
      </c>
      <c r="E26" s="1" t="str">
        <f t="shared" si="0"/>
        <v>VIP</v>
      </c>
    </row>
    <row r="27" spans="1:5" x14ac:dyDescent="0.3">
      <c r="A27" s="1" t="s">
        <v>59</v>
      </c>
      <c r="B27" s="1">
        <v>1</v>
      </c>
      <c r="C27" s="1">
        <v>200000</v>
      </c>
      <c r="D27" s="1">
        <v>200000</v>
      </c>
      <c r="E27" s="1" t="str">
        <f t="shared" si="0"/>
        <v>VIP</v>
      </c>
    </row>
    <row r="28" spans="1:5" x14ac:dyDescent="0.3">
      <c r="A28" s="1" t="s">
        <v>60</v>
      </c>
      <c r="B28" s="1">
        <v>1</v>
      </c>
      <c r="C28" s="1">
        <v>200000</v>
      </c>
      <c r="D28" s="1">
        <v>200000</v>
      </c>
      <c r="E28" s="1" t="str">
        <f t="shared" si="0"/>
        <v>VIP</v>
      </c>
    </row>
    <row r="29" spans="1:5" x14ac:dyDescent="0.3">
      <c r="A29" s="1" t="s">
        <v>61</v>
      </c>
      <c r="B29" s="1">
        <v>1</v>
      </c>
      <c r="C29" s="1">
        <v>2400000</v>
      </c>
      <c r="D29" s="1">
        <v>2400000</v>
      </c>
      <c r="E29" s="1" t="str">
        <f t="shared" si="0"/>
        <v>VIP</v>
      </c>
    </row>
    <row r="30" spans="1:5" x14ac:dyDescent="0.3">
      <c r="A30" s="1" t="s">
        <v>62</v>
      </c>
      <c r="B30" s="1">
        <v>1</v>
      </c>
      <c r="C30" s="1">
        <v>30000</v>
      </c>
      <c r="D30" s="1">
        <v>30000</v>
      </c>
      <c r="E30" s="1" t="str">
        <f t="shared" si="0"/>
        <v>Ocasional</v>
      </c>
    </row>
    <row r="31" spans="1:5" x14ac:dyDescent="0.3">
      <c r="A31" s="1" t="s">
        <v>63</v>
      </c>
      <c r="B31" s="1">
        <v>1</v>
      </c>
      <c r="C31" s="1">
        <v>50000</v>
      </c>
      <c r="D31" s="1">
        <v>50000</v>
      </c>
      <c r="E31" s="1" t="str">
        <f t="shared" si="0"/>
        <v>Ocasional</v>
      </c>
    </row>
    <row r="32" spans="1:5" x14ac:dyDescent="0.3">
      <c r="A32" s="1" t="s">
        <v>64</v>
      </c>
      <c r="B32" s="1">
        <v>1</v>
      </c>
      <c r="C32" s="1">
        <v>160000</v>
      </c>
      <c r="D32" s="1">
        <v>160000</v>
      </c>
      <c r="E32" s="1" t="str">
        <f>IF(B32&gt;=3,"Frecuente",IF(C32&gt;=100000,"VIP","Ocasional"))</f>
        <v>VIP</v>
      </c>
    </row>
    <row r="33" spans="1:5" x14ac:dyDescent="0.3">
      <c r="A33" s="1" t="s">
        <v>65</v>
      </c>
      <c r="B33" s="1">
        <v>1</v>
      </c>
      <c r="C33" s="1">
        <v>250000</v>
      </c>
      <c r="D33" s="1">
        <v>250000</v>
      </c>
      <c r="E33" s="1" t="str">
        <f t="shared" si="0"/>
        <v>VIP</v>
      </c>
    </row>
    <row r="34" spans="1:5" x14ac:dyDescent="0.3">
      <c r="A34" s="1" t="s">
        <v>66</v>
      </c>
      <c r="B34" s="1">
        <v>1</v>
      </c>
      <c r="C34" s="1">
        <v>10000</v>
      </c>
      <c r="D34" s="1">
        <v>10000</v>
      </c>
      <c r="E34" s="1" t="str">
        <f t="shared" si="0"/>
        <v>Ocasional</v>
      </c>
    </row>
    <row r="35" spans="1:5" x14ac:dyDescent="0.3">
      <c r="A35" s="1" t="s">
        <v>67</v>
      </c>
      <c r="B35" s="1">
        <v>1</v>
      </c>
      <c r="C35" s="1">
        <v>1600000</v>
      </c>
      <c r="D35" s="1">
        <v>1600000</v>
      </c>
      <c r="E35" s="1" t="str">
        <f t="shared" si="0"/>
        <v>VIP</v>
      </c>
    </row>
    <row r="36" spans="1:5" x14ac:dyDescent="0.3">
      <c r="A36" s="1" t="s">
        <v>68</v>
      </c>
      <c r="B36" s="1">
        <v>1</v>
      </c>
      <c r="C36" s="1">
        <v>150000</v>
      </c>
      <c r="D36" s="1">
        <v>150000</v>
      </c>
      <c r="E36" s="1" t="str">
        <f t="shared" si="0"/>
        <v>VIP</v>
      </c>
    </row>
    <row r="37" spans="1:5" x14ac:dyDescent="0.3">
      <c r="A37" s="1" t="s">
        <v>69</v>
      </c>
      <c r="B37" s="1">
        <v>1</v>
      </c>
      <c r="C37" s="1">
        <v>35000</v>
      </c>
      <c r="D37" s="1">
        <v>35000</v>
      </c>
      <c r="E37" s="1" t="str">
        <f t="shared" si="0"/>
        <v>Ocasional</v>
      </c>
    </row>
    <row r="38" spans="1:5" x14ac:dyDescent="0.3">
      <c r="A38" s="1" t="s">
        <v>70</v>
      </c>
      <c r="B38" s="1">
        <v>1</v>
      </c>
      <c r="C38" s="1">
        <v>50000</v>
      </c>
      <c r="D38" s="1">
        <v>50000</v>
      </c>
      <c r="E38" s="1" t="str">
        <f t="shared" si="0"/>
        <v>Ocasional</v>
      </c>
    </row>
    <row r="39" spans="1:5" x14ac:dyDescent="0.3">
      <c r="A39" s="1" t="s">
        <v>71</v>
      </c>
      <c r="B39" s="1">
        <v>1</v>
      </c>
      <c r="C39" s="1">
        <v>3000000</v>
      </c>
      <c r="D39" s="1">
        <v>3000000</v>
      </c>
      <c r="E39" s="1" t="str">
        <f t="shared" si="0"/>
        <v>VIP</v>
      </c>
    </row>
    <row r="40" spans="1:5" x14ac:dyDescent="0.3">
      <c r="A40" s="1" t="s">
        <v>72</v>
      </c>
      <c r="B40" s="1">
        <v>1</v>
      </c>
      <c r="C40" s="1">
        <v>200000</v>
      </c>
      <c r="D40" s="1">
        <v>200000</v>
      </c>
      <c r="E40" s="1" t="str">
        <f t="shared" si="0"/>
        <v>VIP</v>
      </c>
    </row>
    <row r="41" spans="1:5" x14ac:dyDescent="0.3">
      <c r="A41" s="1" t="s">
        <v>73</v>
      </c>
      <c r="B41" s="1">
        <v>1</v>
      </c>
      <c r="C41" s="1">
        <v>40000</v>
      </c>
      <c r="D41" s="1">
        <v>40000</v>
      </c>
      <c r="E41" s="1" t="str">
        <f t="shared" si="0"/>
        <v>Ocasional</v>
      </c>
    </row>
    <row r="42" spans="1:5" x14ac:dyDescent="0.3">
      <c r="A42" s="1"/>
      <c r="B42" s="1"/>
      <c r="C42" s="1"/>
      <c r="D42" s="1"/>
      <c r="E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cjavier</dc:creator>
  <cp:lastModifiedBy>cjavier</cp:lastModifiedBy>
  <dcterms:created xsi:type="dcterms:W3CDTF">2026-03-19T00:32:41Z</dcterms:created>
  <dcterms:modified xsi:type="dcterms:W3CDTF">2026-03-28T05:00:46Z</dcterms:modified>
</cp:coreProperties>
</file>